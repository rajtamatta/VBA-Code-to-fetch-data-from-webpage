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17106966\Desktop\"/>
    </mc:Choice>
  </mc:AlternateContent>
  <xr:revisionPtr revIDLastSave="0" documentId="13_ncr:1_{EB6C4679-8232-49EA-8517-47ECF269BA99}" xr6:coauthVersionLast="31" xr6:coauthVersionMax="31" xr10:uidLastSave="{00000000-0000-0000-0000-000000000000}"/>
  <bookViews>
    <workbookView xWindow="0" yWindow="0" windowWidth="19200" windowHeight="8190" activeTab="1" xr2:uid="{AE0A9A43-7E86-4FA3-B2AF-614B73C88319}"/>
  </bookViews>
  <sheets>
    <sheet name="API" sheetId="1" r:id="rId1"/>
    <sheet name="DATA" sheetId="2" r:id="rId2"/>
    <sheet name="Sheet1" sheetId="3" r:id="rId3"/>
  </sheets>
  <functionGroups builtInGroupCount="19"/>
  <definedNames>
    <definedName name="_xlnm._FilterDatabase" localSheetId="1" hidden="1">DATA!$A$1:$J$43</definedName>
    <definedName name="_xlnm._FilterDatabase" localSheetId="2" hidden="1">Sheet1!$C$1:$G$43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2" l="1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P2" i="2"/>
  <c r="O2" i="2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2" i="3"/>
</calcChain>
</file>

<file path=xl/sharedStrings.xml><?xml version="1.0" encoding="utf-8"?>
<sst xmlns="http://schemas.openxmlformats.org/spreadsheetml/2006/main" count="934" uniqueCount="433">
  <si>
    <t xml:space="preserve"> Tomorrowland Presents Dimitri Vegas &amp; Like Mike - Opening Party </t>
  </si>
  <si>
    <t xml:space="preserve"> Tomorrowland 2018 - Weekend 1 </t>
  </si>
  <si>
    <t xml:space="preserve"> Tomorrowland 2018 - Weekend 2 </t>
  </si>
  <si>
    <t xml:space="preserve"> UNITE With Tomorrowland | Abu Dhabi </t>
  </si>
  <si>
    <t xml:space="preserve"> UNITE With Tomorrowland | Taiwan </t>
  </si>
  <si>
    <t xml:space="preserve"> UNITE With Tomorrowland | Lebanon </t>
  </si>
  <si>
    <t xml:space="preserve"> The Chainsmokers | Lotto Arena </t>
  </si>
  <si>
    <t xml:space="preserve"> Alan Walker | Trix </t>
  </si>
  <si>
    <t xml:space="preserve"> Galantis- The Aviary Tour: Brussels, Belgium - Ancienne Belgique </t>
  </si>
  <si>
    <t xml:space="preserve"> UNITE With Tomorrowland | Spain </t>
  </si>
  <si>
    <t xml:space="preserve"> UNITE With Tomorrowland | Italy </t>
  </si>
  <si>
    <t xml:space="preserve"> UNITE With Tomorrowland | Malta </t>
  </si>
  <si>
    <t xml:space="preserve"> UNITE With Tomorrowland | Mexico </t>
  </si>
  <si>
    <t xml:space="preserve"> Tomorrowland Presents Dimitri Vegas &amp; Like Mike - Closing Party </t>
  </si>
  <si>
    <t xml:space="preserve"> Tomorrowland Winter </t>
  </si>
  <si>
    <t xml:space="preserve"> Dimitri Vegas &amp; Like Mike - Bringing The Madness - Sportpaleis </t>
  </si>
  <si>
    <t xml:space="preserve"> Tomorrowland 2017 - Weekend 2 </t>
  </si>
  <si>
    <t xml:space="preserve"> Tomorrowland 2017 - Weekend 1 </t>
  </si>
  <si>
    <t xml:space="preserve"> Above &amp; Beyond at Ancienne Belgique </t>
  </si>
  <si>
    <t xml:space="preserve"> Tomorrowland Presents: UNITE - Israel </t>
  </si>
  <si>
    <t xml:space="preserve"> Tomorrowland Presents: UNITE - Mexico </t>
  </si>
  <si>
    <t xml:space="preserve"> Tomorrowland Presents: UNITE - Colombia </t>
  </si>
  <si>
    <t xml:space="preserve"> Tomorrowland Presents: UNITE - India </t>
  </si>
  <si>
    <t xml:space="preserve"> Tomorrowland Presents: UNITE - Japan </t>
  </si>
  <si>
    <t xml:space="preserve"> Tomorrowland Presents: UNITE - South-Africa </t>
  </si>
  <si>
    <t xml:space="preserve"> Tomorrowland Presents: UNITE - Germany - SOLD OUT </t>
  </si>
  <si>
    <t xml:space="preserve"> Tomorrowland 2016 </t>
  </si>
  <si>
    <t xml:space="preserve"> LOST FREQUENCIES @ Ancienne Belgique - SOLD OUT </t>
  </si>
  <si>
    <t xml:space="preserve"> Kygo @ Lotto Arena </t>
  </si>
  <si>
    <t xml:space="preserve"> This Was Tomorrow - Global Release </t>
  </si>
  <si>
    <t xml:space="preserve"> This Was Tomorrow - Sportpaleis </t>
  </si>
  <si>
    <t xml:space="preserve"> UNITE, The Mirror to Tomorrowland </t>
  </si>
  <si>
    <t xml:space="preserve"> Tomorrowland 2015 </t>
  </si>
  <si>
    <t xml:space="preserve"> Tomorrowland 2014 - Weekend 2 </t>
  </si>
  <si>
    <t xml:space="preserve"> Tomorrowland 2014 - Weekend 1 </t>
  </si>
  <si>
    <t xml:space="preserve"> TomorrowWorld </t>
  </si>
  <si>
    <t xml:space="preserve"> Tomorrowland 2013 </t>
  </si>
  <si>
    <t xml:space="preserve"> Avant Premiere Tomorrowland 2012 Aftermovie </t>
  </si>
  <si>
    <t xml:space="preserve"> Tomorrowland 2012 </t>
  </si>
  <si>
    <t>?acontext=%7B%22source%22%3A5%2C%22page_id_source%22%3A82627199176%2C%22action_history%22%3A[%7B%22surface%22%3A%22page%22%2C%22mechanism%22%3A%22main_list%22%2C%22extra_data%22%3A%22%7B%5C%22page_id%5C%22%3A82627199176%2C%5C%22tour_id%5C%22%3Anull%7D%22%7D]%2C%22has_source%22%3Atrue%7D" data-hovercard="</t>
  </si>
  <si>
    <t>ajax</t>
  </si>
  <si>
    <t>hovercard</t>
  </si>
  <si>
    <t>Event Name</t>
  </si>
  <si>
    <t>API</t>
  </si>
  <si>
    <t>JUN_x000D_
_x000D_
19</t>
  </si>
  <si>
    <t>Tomorrowland Presents Dimitri Vegas &amp; Like Mike - Opening Party</t>
  </si>
  <si>
    <t>_x000D_
_x000D_
_x000D_
_x000D_
_x000D_
clock_x000D_
_x000D_
_x000D_
_x000D_
_x000D_
_x000D_
_x000D_
19 June at 17:00–23:59 UTC+02</t>
  </si>
  <si>
    <t>_x000D_
_x000D_
_x000D_
_x000D_
_x000D_
pin_x000D_
_x000D_
_x000D_
_x000D_
_x000D_
_x000D_
_x000D_
Ushuaïa Ibiza Beach Hotel (Official)_x000D_
Playa Den Bossa Ibiza, 07817 Ibiza, Spain_x000D_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Dance club &amp; nightclub_x000D_
_x000D_
_x000D_
_x000D_
_x000D_
_x000D_
_x000D_
_x000D_
_x000D_
_x000D_
_x000D_
_x000D_
_x000D_
_x000D_
_x000D_
_x000D_
_x000D_
_x000D_
_x000D_
_x000D_
_x000D_
_x000D_
_x000D_
_x000D_
_x000D_
_x000D_
+34 971 39 67 10_x000D_
_x000D_
reservas.ibiza@ushuaiabeachhotel.com_x000D_
_x000D_
Get Directions</t>
  </si>
  <si>
    <t>GOING (617)</t>
  </si>
  <si>
    <t>INVITED (640)</t>
  </si>
  <si>
    <t>event.php?id</t>
  </si>
  <si>
    <t xml:space="preserve"> _50f7&gt; Tomorrowland Presents Dimitri Vegas &amp;amp; Like Mike - Opening Party &lt;</t>
  </si>
  <si>
    <t xml:space="preserve"> _50f7&gt; Tomorrowland 2018 - Weekend 1 &lt;</t>
  </si>
  <si>
    <t xml:space="preserve"> _50f7&gt; Tomorrowland 2018 - Weekend 2 &lt;</t>
  </si>
  <si>
    <t xml:space="preserve"> _50f7&gt; UNITE With Tomorrowland | Abu Dhabi &lt;</t>
  </si>
  <si>
    <t xml:space="preserve"> _50f7&gt; UNITE With Tomorrowland | Taiwan &lt;</t>
  </si>
  <si>
    <t xml:space="preserve"> _50f7&gt; UNITE With Tomorrowland | Lebanon &lt;</t>
  </si>
  <si>
    <t xml:space="preserve"> _50f7&gt; UNITE With Tomorrowland | Spain &lt;</t>
  </si>
  <si>
    <t xml:space="preserve"> _50f7&gt; UNITE With Tomorrowland | Italy &lt;</t>
  </si>
  <si>
    <t xml:space="preserve"> _50f7&gt; UNITE With Tomorrowland | Malta &lt;</t>
  </si>
  <si>
    <t xml:space="preserve"> _50f7&gt; UNITE With Tomorrowland | Mexico &lt;</t>
  </si>
  <si>
    <t xml:space="preserve"> _50f7&gt; Tomorrowland Presents Dimitri Vegas &amp;amp; Like Mike - Closing Party &lt;</t>
  </si>
  <si>
    <t xml:space="preserve"> _50f7&gt; Tomorrowland Winter &lt;</t>
  </si>
  <si>
    <t xml:space="preserve"> _50f7&gt; The Chainsmokers | Lotto Arena &lt;</t>
  </si>
  <si>
    <t xml:space="preserve"> _50f7&gt; Alan Walker | Trix &lt;</t>
  </si>
  <si>
    <t xml:space="preserve"> _50f7&gt; Galantis- The Aviary Tour: Brussels, Belgium - Ancienne Belgique &lt;</t>
  </si>
  <si>
    <t xml:space="preserve"> _50f7&gt; Dimitri Vegas &amp;amp; Like Mike - Bringing The Madness - Sportpaleis &lt;</t>
  </si>
  <si>
    <t xml:space="preserve"> _50f7&gt; Tomorrowland 2017 - Weekend 2 &lt;</t>
  </si>
  <si>
    <t xml:space="preserve"> _50f7&gt; Tomorrowland 2017 - Weekend 1 &lt;</t>
  </si>
  <si>
    <t xml:space="preserve"> _50f7&gt; Above &amp;amp; Beyond at Ancienne Belgique &lt;</t>
  </si>
  <si>
    <t xml:space="preserve"> _50f7&gt; Tomorrowland Presents: UNITE - Israel &lt;</t>
  </si>
  <si>
    <t xml:space="preserve"> _50f7&gt; Tomorrowland Presents: UNITE - Mexico &lt;</t>
  </si>
  <si>
    <t xml:space="preserve"> _50f7&gt; Tomorrowland Presents: UNITE - Colombia &lt;</t>
  </si>
  <si>
    <t xml:space="preserve"> _50f7&gt; Tomorrowland Presents: UNITE - India &lt;</t>
  </si>
  <si>
    <t xml:space="preserve"> _50f7&gt; Tomorrowland Presents: UNITE - Japan &lt;</t>
  </si>
  <si>
    <t xml:space="preserve"> _50f7&gt; Tomorrowland Presents: UNITE - South-Africa &lt;</t>
  </si>
  <si>
    <t xml:space="preserve"> _50f7&gt; Tomorrowland Presents: UNITE - Germany - SOLD OUT &lt;</t>
  </si>
  <si>
    <t xml:space="preserve"> _50f7&gt; Tomorrowland 2016 &lt;</t>
  </si>
  <si>
    <t xml:space="preserve"> _50f7&gt; LOST FREQUENCIES @ Ancienne Belgique - SOLD OUT &lt;</t>
  </si>
  <si>
    <t xml:space="preserve"> _50f7&gt; Kygo @ Lotto Arena &lt;</t>
  </si>
  <si>
    <t xml:space="preserve"> _50f7&gt; This Was Tomorrow - Global Release &lt;</t>
  </si>
  <si>
    <t xml:space="preserve"> _50f7&gt; This Was Tomorrow -  Sportpaleis &lt;</t>
  </si>
  <si>
    <t xml:space="preserve"> _50f7&gt; UNITE, The Mirror to Tomorrowland &lt;</t>
  </si>
  <si>
    <t xml:space="preserve"> _50f7&gt; Tomorrowland 2015 &lt;</t>
  </si>
  <si>
    <t xml:space="preserve"> _50f7&gt; Tomorrowland 2014 - Weekend 2 &lt;</t>
  </si>
  <si>
    <t xml:space="preserve"> _50f7&gt; Tomorrowland 2014 - Weekend 1 &lt;</t>
  </si>
  <si>
    <t xml:space="preserve"> _50f7&gt; TomorrowWorld &lt;</t>
  </si>
  <si>
    <t xml:space="preserve"> _50f7&gt; Tomorrowland 2013 &lt;</t>
  </si>
  <si>
    <t xml:space="preserve"> _50f7&gt; Avant Premiere Tomorrowland 2012 Aftermovie &lt;</t>
  </si>
  <si>
    <t xml:space="preserve"> _50f7&gt; Tomorrowland 2012 &lt;</t>
  </si>
  <si>
    <t>293089037881266/</t>
  </si>
  <si>
    <t>803767609807295/</t>
  </si>
  <si>
    <t>221621615041103/</t>
  </si>
  <si>
    <t>604780633195493/</t>
  </si>
  <si>
    <t>116545362450651/</t>
  </si>
  <si>
    <t>223620688205012/</t>
  </si>
  <si>
    <t>469557550113325/</t>
  </si>
  <si>
    <t>191535691447000/</t>
  </si>
  <si>
    <t>926418140869853/</t>
  </si>
  <si>
    <t>995005440654932/</t>
  </si>
  <si>
    <t>1959020857683651/</t>
  </si>
  <si>
    <t>353241975180474/</t>
  </si>
  <si>
    <t>366157627147646/</t>
  </si>
  <si>
    <t>1798907853484589/</t>
  </si>
  <si>
    <t>1948365798739935/</t>
  </si>
  <si>
    <t>481869088814949/</t>
  </si>
  <si>
    <t>1208278689258732/</t>
  </si>
  <si>
    <t>247105832368777/</t>
  </si>
  <si>
    <t>1904958493114057/</t>
  </si>
  <si>
    <t>1412497075445677/</t>
  </si>
  <si>
    <t>1045999445469547/</t>
  </si>
  <si>
    <t>544187972432489/</t>
  </si>
  <si>
    <t>527440957463645/</t>
  </si>
  <si>
    <t>177645542634271/</t>
  </si>
  <si>
    <t>1700144160236156/</t>
  </si>
  <si>
    <t>510503039137524/</t>
  </si>
  <si>
    <t>1597842390507239/</t>
  </si>
  <si>
    <t>259468884402035/</t>
  </si>
  <si>
    <t>1638871746363591/</t>
  </si>
  <si>
    <t>1029863473736607/</t>
  </si>
  <si>
    <t>459551640895449/</t>
  </si>
  <si>
    <t>751611721634168/</t>
  </si>
  <si>
    <t>1357047527644545/</t>
  </si>
  <si>
    <t>107050529633074/</t>
  </si>
  <si>
    <t>858693697511005/</t>
  </si>
  <si>
    <t>1562528360654190/</t>
  </si>
  <si>
    <t>1425292907687851/</t>
  </si>
  <si>
    <t>233919330109408/</t>
  </si>
  <si>
    <t>349271495186887/</t>
  </si>
  <si>
    <t>193010020844837/</t>
  </si>
  <si>
    <t>492641100747716/</t>
  </si>
  <si>
    <t>868800936496368/</t>
  </si>
  <si>
    <t>INTERESTED (3628)</t>
  </si>
  <si>
    <t>JUL_x000D_
_x000D_
20</t>
  </si>
  <si>
    <t>Tomorrowland 2018 - Weekend 1</t>
  </si>
  <si>
    <t>_x000D_
_x000D_
_x000D_
_x000D_
_x000D_
clock_x000D_
_x000D_
_x000D_
_x000D_
_x000D_
_x000D_
_x000D_
20 July - 22 July_x000D_
_x000D_
20 July at 12:00 to 22 July at 23:59 UTC+02</t>
  </si>
  <si>
    <t>_x000D_
_x000D_
_x000D_
_x000D_
_x000D_
pin_x000D_
_x000D_
_x000D_
_x000D_
_x000D_
_x000D_
_x000D_
Tomorrowland_x000D_
Tomorrowland, 2850 Boom, Belgium_x000D_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Event_x000D_
_x000D_
_x000D_
_x000D_
_x000D_
_x000D_
_x000D_
_x000D_
_x000D_
_x000D_
_x000D_
_x000D_
_x000D_
_x000D_
_x000D_
_x000D_
_x000D_
_x000D_
_x000D_
_x000D_
_x000D_
_x000D_
_x000D_
_x000D_
_x000D_
_x000D_
_x000D_
_x000D_
info@tomorrowland.com_x000D_
_x000D_
Get Directions</t>
  </si>
  <si>
    <t>INTERESTED (13734)</t>
  </si>
  <si>
    <t>INVITED (1349)</t>
  </si>
  <si>
    <t>JUL_x000D_
_x000D_
27</t>
  </si>
  <si>
    <t>Tomorrowland 2018 - Weekend 2</t>
  </si>
  <si>
    <t>_x000D_
_x000D_
_x000D_
_x000D_
_x000D_
clock_x000D_
_x000D_
_x000D_
_x000D_
_x000D_
_x000D_
_x000D_
27 July - 29 July_x000D_
_x000D_
27 July at 12:00 to 29 July at 23:59 UTC+02</t>
  </si>
  <si>
    <t>GOING (17836)</t>
  </si>
  <si>
    <t>INVITED (1820)</t>
  </si>
  <si>
    <t>JUL_x000D_
_x000D_
28</t>
  </si>
  <si>
    <t>UNITE With Tomorrowland | Abu Dhabi</t>
  </si>
  <si>
    <t>_x000D_
_x000D_
_x000D_
_x000D_
_x000D_
clock_x000D_
_x000D_
_x000D_
_x000D_
_x000D_
_x000D_
_x000D_
28 July - 29 July_x000D_
_x000D_
28 July at 14:00 to 29 July at 3:00 UTC+04</t>
  </si>
  <si>
    <t>_x000D_
_x000D_
_x000D_
_x000D_
_x000D_
pin_x000D_
_x000D_
_x000D_
_x000D_
_x000D_
_x000D_
_x000D_
Abu Dhabi, United Arab Emirates_x000D_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City_x000D_
_x000D_
_x000D_
_x000D_
_x000D_
_x000D_
_x000D_
Get Directions</t>
  </si>
  <si>
    <t>INTERESTED (2650)</t>
  </si>
  <si>
    <t>GOING (705)</t>
  </si>
  <si>
    <t>INVITED (210)</t>
  </si>
  <si>
    <t>UNITE With Tomorrowland | Taiwan</t>
  </si>
  <si>
    <t>_x000D_
_x000D_
_x000D_
_x000D_
_x000D_
clock_x000D_
_x000D_
_x000D_
_x000D_
_x000D_
_x000D_
_x000D_
28 July at 19:00–4:00 UTC+08_x000D_
_x000D_
28 July at 19:00 to 29 July at 4:00 UTC+08</t>
  </si>
  <si>
    <t>_x000D_
_x000D_
_x000D_
_x000D_
_x000D_
pin_x000D_
_x000D_
_x000D_
_x000D_
_x000D_
_x000D_
_x000D_
Taipei, Taiwan_x000D_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City_x000D_
_x000D_
_x000D_
_x000D_
_x000D_
_x000D_
_x000D_
Get Directions</t>
  </si>
  <si>
    <t>INTERESTED (2136)</t>
  </si>
  <si>
    <t>GOING (620)</t>
  </si>
  <si>
    <t>INVITED (101)</t>
  </si>
  <si>
    <t>UNITE With Tomorrowland | Lebanon</t>
  </si>
  <si>
    <t>_x000D_
_x000D_
_x000D_
_x000D_
_x000D_
clock_x000D_
_x000D_
_x000D_
_x000D_
_x000D_
_x000D_
_x000D_
28 July - 29 July_x000D_
_x000D_
28 July at 16:00 to 29 July at 4:00 UTC+03</t>
  </si>
  <si>
    <t>_x000D_
_x000D_
_x000D_
_x000D_
_x000D_
pin_x000D_
_x000D_
_x000D_
_x000D_
_x000D_
_x000D_
_x000D_
Beirut, Lebanon_x000D_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City_x000D_
_x000D_
_x000D_
_x000D_
_x000D_
_x000D_
_x000D_
Get Directions</t>
  </si>
  <si>
    <t>INTERESTED (1389)</t>
  </si>
  <si>
    <t>GOING (733)</t>
  </si>
  <si>
    <t>INVITED (403)</t>
  </si>
  <si>
    <t>UNITE With Tomorrowland | Spain</t>
  </si>
  <si>
    <t>_x000D_
_x000D_
_x000D_
_x000D_
_x000D_
clock_x000D_
_x000D_
_x000D_
_x000D_
_x000D_
_x000D_
_x000D_
28 July - 29 July_x000D_
_x000D_
28 July at 15:00 to 29 July at 3:00 UTC+02</t>
  </si>
  <si>
    <t>_x000D_
_x000D_
_x000D_
_x000D_
_x000D_
pin_x000D_
_x000D_
_x000D_
_x000D_
_x000D_
_x000D_
_x000D_
Parc Metropolità de Can Zam_x000D_
AVDA. FRANCESC MACIA, 226, 08924 Santa Coloma de Gramenet_x000D_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Park_x000D_
_x000D_
_x000D_
_x000D_
_x000D_
_x000D_
_x000D_
_x000D_
_x000D_
_x000D_
_x000D_
_x000D_
_x000D_
_x000D_
_x000D_
_x000D_
_x000D_
_x000D_
_x000D_
_x000D_
_x000D_
_x000D_
_x000D_
_x000D_
_x000D_
_x000D_
_x000D_
_x000D_
_x000D_
_x000D_
Get Directions</t>
  </si>
  <si>
    <t>INTERESTED (7012)</t>
  </si>
  <si>
    <t>GOING (1853)</t>
  </si>
  <si>
    <t>INVITED (432)</t>
  </si>
  <si>
    <t>UNITE With Tomorrowland | Italy</t>
  </si>
  <si>
    <t>_x000D_
_x000D_
_x000D_
_x000D_
_x000D_
clock_x000D_
_x000D_
_x000D_
_x000D_
_x000D_
_x000D_
_x000D_
28 July - 29 July_x000D_
_x000D_
28 July at 16:00 to 29 July at 2:00 UTC+02</t>
  </si>
  <si>
    <t>_x000D_
_x000D_
_x000D_
_x000D_
_x000D_
pin_x000D_
_x000D_
_x000D_
_x000D_
_x000D_
_x000D_
_x000D_
Parco di Monza_x000D_
Viale Brianza, 20900 Monza, Italy_x000D_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Park_x000D_
_x000D_
_x000D_
_x000D_
_x000D_
_x000D_
_x000D_
_x000D_
_x000D_
_x000D_
_x000D_
_x000D_
_x000D_
_x000D_
_x000D_
_x000D_
_x000D_
_x000D_
_x000D_
_x000D_
_x000D_
_x000D_
_x000D_
_x000D_
_x000D_
_x000D_
+39 039 394641_x000D_
_x000D_
comunicazione@reggiadimonza.it_x000D_
_x000D_
Get Directions</t>
  </si>
  <si>
    <t>INVITED (3241)</t>
  </si>
  <si>
    <t>UNITE With Tomorrowland | Malta</t>
  </si>
  <si>
    <t>_x000D_
_x000D_
_x000D_
_x000D_
_x000D_
clock_x000D_
_x000D_
_x000D_
_x000D_
_x000D_
_x000D_
_x000D_
28 July - 29 July_x000D_
_x000D_
28 July at 16:00 to 29 July at 3:00 UTC+02</t>
  </si>
  <si>
    <t>_x000D_
_x000D_
_x000D_
_x000D_
_x000D_
ticket_x000D_
_x000D_
_x000D_
_x000D_
_x000D_
_x000D_
_x000D_
Tickets available_x000D_
frontoffice.paylogic.nl_x000D_
_x000D_
_x000D_
_x000D_
_x000D_
_x000D_
_x000D_
Find Tickets</t>
  </si>
  <si>
    <t>INTERESTED (6264)</t>
  </si>
  <si>
    <t>GOING (1452)</t>
  </si>
  <si>
    <t>INVITED (5181)</t>
  </si>
  <si>
    <t>UNITE With Tomorrowland | Mexico</t>
  </si>
  <si>
    <t>_x000D_
_x000D_
_x000D_
_x000D_
_x000D_
clock_x000D_
_x000D_
_x000D_
_x000D_
_x000D_
_x000D_
_x000D_
28 July at 17:00–23:00 UTC-05</t>
  </si>
  <si>
    <t>_x000D_
_x000D_
_x000D_
_x000D_
_x000D_
pin_x000D_
_x000D_
_x000D_
_x000D_
_x000D_
_x000D_
_x000D_
Deportivo Lomas Altas_x000D_
Mexico City, Mexico_x000D_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Gym/Physical fitness centre_x000D_
_x000D_
_x000D_
_x000D_
_x000D_
_x000D_
_x000D_
Get Directions</t>
  </si>
  <si>
    <t>INTERESTED (7581)</t>
  </si>
  <si>
    <t>GOING (2558)</t>
  </si>
  <si>
    <t>INVITED (510)</t>
  </si>
  <si>
    <t>SEPT_x000D_
_x000D_
18</t>
  </si>
  <si>
    <t>Tomorrowland Presents Dimitri Vegas &amp; Like Mike - Closing Party</t>
  </si>
  <si>
    <t>_x000D_
_x000D_
_x000D_
_x000D_
_x000D_
clock_x000D_
_x000D_
_x000D_
_x000D_
_x000D_
_x000D_
_x000D_
18 September at 17:00–23:59 UTC+02</t>
  </si>
  <si>
    <t>INTERESTED (2328)</t>
  </si>
  <si>
    <t>GOING (246)</t>
  </si>
  <si>
    <t>INVITED (36)</t>
  </si>
  <si>
    <t>MAR_x000D_
_x000D_
13</t>
  </si>
  <si>
    <t>Tomorrowland Winter</t>
  </si>
  <si>
    <t>_x000D_
_x000D_
_x000D_
_x000D_
_x000D_
clock_x000D_
_x000D_
_x000D_
_x000D_
_x000D_
_x000D_
_x000D_
13 March 2019 - 15 March 2019_x000D_
_x000D_
13 March 2019 at 0:00 to 15 March 2019 at 12:00 UTC+01</t>
  </si>
  <si>
    <t>_x000D_
_x000D_
_x000D_
_x000D_
_x000D_
pin_x000D_
_x000D_
_x000D_
_x000D_
_x000D_
_x000D_
_x000D_
Tomorrowland Winter_x000D_
Alpe d'Huez_x000D_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Festival_x000D_
_x000D_
_x000D_
_x000D_
_x000D_
info@tomorrowlandwinter.com_x000D_
_x000D_
Get Directions</t>
  </si>
  <si>
    <t>FEB_x000D_
_x000D_
22</t>
  </si>
  <si>
    <t>The Chainsmokers | Lotto Arena</t>
  </si>
  <si>
    <t>_x000D_
_x000D_
_x000D_
_x000D_
_x000D_
clock_x000D_
_x000D_
_x000D_
_x000D_
_x000D_
_x000D_
_x000D_
22 February at 20:00–23:00 UTC+01_x000D_
_x000D_
about 2 weeks ago</t>
  </si>
  <si>
    <t>_x000D_
_x000D_
_x000D_
_x000D_
_x000D_
pin_x000D_
_x000D_
_x000D_
_x000D_
_x000D_
_x000D_
_x000D_
Lotto Arena_x000D_
2170 Schoten_x000D_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Performance &amp; event venue_x000D_
_x000D_
_x000D_
_x000D_
_x000D_
_x000D_
_x000D_
_x000D_
_x000D_
_x000D_
_x000D_
_x000D_
_x000D_
_x000D_
_x000D_
_x000D_
_x000D_
_x000D_
_x000D_
_x000D_
_x000D_
_x000D_
_x000D_
_x000D_
_x000D_
_x000D_
_x000D_
_x000D_
info@sportpaleisgroep.be_x000D_
_x000D_
Get Directions</t>
  </si>
  <si>
    <t>INTERESTED (5729)</t>
  </si>
  <si>
    <t>WENT (3410)</t>
  </si>
  <si>
    <t>INVITED (237)</t>
  </si>
  <si>
    <t>FEB_x000D_
_x000D_
21</t>
  </si>
  <si>
    <t>Alan Walker | Trix</t>
  </si>
  <si>
    <t>_x000D_
_x000D_
_x000D_
_x000D_
_x000D_
clock_x000D_
_x000D_
_x000D_
_x000D_
_x000D_
_x000D_
_x000D_
21 February at 20:00–23:00 UTC+01_x000D_
_x000D_
about 2 weeks ago</t>
  </si>
  <si>
    <t>_x000D_
_x000D_
_x000D_
_x000D_
_x000D_
pin_x000D_
_x000D_
_x000D_
_x000D_
_x000D_
_x000D_
_x000D_
Trix_x000D_
Noordersingel 28-30, 2140 Antwerp, Belgium_x000D_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Live music venue_x000D_
_x000D_
_x000D_
_x000D_
_x000D_
_x000D_
_x000D_
_x000D_
_x000D_
_x000D_
_x000D_
_x000D_
_x000D_
_x000D_
_x000D_
_x000D_
_x000D_
_x000D_
_x000D_
_x000D_
_x000D_
_x000D_
_x000D_
_x000D_
_x000D_
_x000D_
+32 3 670 09 00_x000D_
_x000D_
info@trixonline.be_x000D_
_x000D_
Get Directions</t>
  </si>
  <si>
    <t>INTERESTED (2752)</t>
  </si>
  <si>
    <t>WENT (506)</t>
  </si>
  <si>
    <t>INVITED (57)</t>
  </si>
  <si>
    <t>FEB_x000D_
_x000D_
6</t>
  </si>
  <si>
    <t>Galantis- The Aviary Tour: Brussels, Belgium - Ancienne Belgique</t>
  </si>
  <si>
    <t>_x000D_
_x000D_
_x000D_
_x000D_
_x000D_
clock_x000D_
_x000D_
_x000D_
_x000D_
_x000D_
_x000D_
_x000D_
6 February at 19:00–22:30 UTC+01_x000D_
_x000D_
about 1 month ago</t>
  </si>
  <si>
    <t>_x000D_
_x000D_
_x000D_
_x000D_
_x000D_
pin_x000D_
_x000D_
_x000D_
_x000D_
_x000D_
_x000D_
_x000D_
Ancienne Belgique - AB_x000D_
Anspachlaan 110, 1000 Brussels, Belgium_x000D_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Performance &amp; event venue_x000D_
_x000D_
_x000D_
_x000D_
_x000D_
_x000D_
_x000D_
_x000D_
_x000D_
_x000D_
_x000D_
_x000D_
_x000D_
_x000D_
_x000D_
_x000D_
_x000D_
_x000D_
_x000D_
_x000D_
_x000D_
_x000D_
_x000D_
_x000D_
_x000D_
_x000D_
+32 2 548 24 84_x000D_
_x000D_
info@abconcerts.be_x000D_
_x000D_
Get Directions</t>
  </si>
  <si>
    <t>INTERESTED (3148)</t>
  </si>
  <si>
    <t>WENT (707)</t>
  </si>
  <si>
    <t>INVITED (344)</t>
  </si>
  <si>
    <t>DEC_x000D_
_x000D_
15</t>
  </si>
  <si>
    <t>Dimitri Vegas &amp; Like Mike - Bringing The Madness - Sportpaleis</t>
  </si>
  <si>
    <t>_x000D_
_x000D_
_x000D_
_x000D_
_x000D_
clock_x000D_
_x000D_
_x000D_
_x000D_
_x000D_
_x000D_
_x000D_
15 December 2017 - 23 December 2017_x000D_
_x000D_
15 December 2017 at 18:00 to 23 December 2017 at 23:59 UTC+01</t>
  </si>
  <si>
    <t>_x000D_
_x000D_
_x000D_
_x000D_
_x000D_
pin_x000D_
_x000D_
_x000D_
_x000D_
_x000D_
_x000D_
_x000D_
Antwerps Sportpaleis_x000D_
Schijnpoortweg 119, 2170 Merksem, Antwerpen, Belgium_x000D_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Live music venue_x000D_
_x000D_
_x000D_
+32 3 400 40 40_x000D_
_x000D_
_x000D_
_x000D_
Get Directions</t>
  </si>
  <si>
    <t>INTERESTED (11565)</t>
  </si>
  <si>
    <t>WENT (10811)</t>
  </si>
  <si>
    <t>INVITED (2532)</t>
  </si>
  <si>
    <t>Tomorrowland 2017 - Weekend 2</t>
  </si>
  <si>
    <t>_x000D_
_x000D_
_x000D_
_x000D_
_x000D_
clock_x000D_
_x000D_
_x000D_
_x000D_
_x000D_
_x000D_
_x000D_
28 July 2017 - 30 July 2017_x000D_
_x000D_
28 July 2017 at 12:00 to 30 July 2017 at 23:59 UTC+02</t>
  </si>
  <si>
    <t>INTERESTED (26767)</t>
  </si>
  <si>
    <t>WENT (33265)</t>
  </si>
  <si>
    <t>INVITED (4358)</t>
  </si>
  <si>
    <t>JUL_x000D_
_x000D_
21</t>
  </si>
  <si>
    <t>Tomorrowland 2017 - Weekend 1</t>
  </si>
  <si>
    <t>_x000D_
_x000D_
_x000D_
_x000D_
_x000D_
clock_x000D_
_x000D_
_x000D_
_x000D_
_x000D_
_x000D_
_x000D_
21 July 2017 - 23 July 2017_x000D_
_x000D_
21 July 2017 at 12:00 to 23 July 2017 at 23:59 UTC+02</t>
  </si>
  <si>
    <t>INTERESTED (36439)</t>
  </si>
  <si>
    <t>WENT (34561)</t>
  </si>
  <si>
    <t>INVITED (7450)</t>
  </si>
  <si>
    <t>JUL_x000D_
_x000D_
4</t>
  </si>
  <si>
    <t>_x000D_
_x000D_
_x000D_
_x000D_
_x000D_
clock_x000D_
_x000D_
_x000D_
_x000D_
_x000D_
_x000D_
_x000D_
Tuesday, 4 July 2017 at 17:00–23:59 UTC+02_x000D_
_x000D_
about 8 months ago</t>
  </si>
  <si>
    <t>INTERESTED (787)</t>
  </si>
  <si>
    <t>WENT (446)</t>
  </si>
  <si>
    <t>INVITED (49)</t>
  </si>
  <si>
    <t>DEC_x000D_
_x000D_
16</t>
  </si>
  <si>
    <t>_x000D_
_x000D_
_x000D_
_x000D_
_x000D_
clock_x000D_
_x000D_
_x000D_
_x000D_
_x000D_
_x000D_
_x000D_
16 December 2016 - 23 December 2016_x000D_
_x000D_
16 December 2016 at 20:00 to 23 December 2016 at 23:00 UTC+01</t>
  </si>
  <si>
    <t>INTERESTED (22655)</t>
  </si>
  <si>
    <t>WENT (19356)</t>
  </si>
  <si>
    <t>INVITED (6369)</t>
  </si>
  <si>
    <t>DEC_x000D_
_x000D_
10</t>
  </si>
  <si>
    <t>Above &amp; Beyond at Ancienne Belgique</t>
  </si>
  <si>
    <t>_x000D_
_x000D_
_x000D_
_x000D_
_x000D_
clock_x000D_
_x000D_
_x000D_
_x000D_
_x000D_
_x000D_
_x000D_
Saturday, 10 December 2016 at 19:00–22:30 UTC+01_x000D_
_x000D_
More than a year ago</t>
  </si>
  <si>
    <t>INTERESTED (1063)</t>
  </si>
  <si>
    <t>WENT (968)</t>
  </si>
  <si>
    <t>INVITED (533)</t>
  </si>
  <si>
    <t>JUL_x000D_
_x000D_
23</t>
  </si>
  <si>
    <t>Tomorrowland Presents: UNITE - Israel</t>
  </si>
  <si>
    <t>_x000D_
_x000D_
_x000D_
_x000D_
_x000D_
clock_x000D_
_x000D_
_x000D_
_x000D_
_x000D_
_x000D_
_x000D_
Saturday, 23 July 2016 at 20:00 UTC+03_x000D_
_x000D_
More than a year ago</t>
  </si>
  <si>
    <t>_x000D_
_x000D_
_x000D_
_x000D_
_x000D_
pin_x000D_
_x000D_
_x000D_
_x000D_
_x000D_
_x000D_
_x000D_
Pais Arena Jerusalem_x000D_
מלחה, Jerusalem, Israel_x000D_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Stadium, arena &amp; sports venue_x000D_
_x000D_
_x000D_
_x000D_
_x000D_
_x000D_
_x000D_
_x000D_
_x000D_
_x000D_
_x000D_
_x000D_
_x000D_
_x000D_
_x000D_
_x000D_
_x000D_
_x000D_
_x000D_
_x000D_
_x000D_
_x000D_
_x000D_
_x000D_
_x000D_
_x000D_
_x000D_
_x000D_
_x000D_
_x000D_
Get Directions</t>
  </si>
  <si>
    <t>INTERESTED (1465)</t>
  </si>
  <si>
    <t>WENT (1162)</t>
  </si>
  <si>
    <t>INVITED (1046)</t>
  </si>
  <si>
    <t>Tomorrowland Presents: UNITE - Mexico</t>
  </si>
  <si>
    <t>_x000D_
_x000D_
_x000D_
_x000D_
_x000D_
clock_x000D_
_x000D_
_x000D_
_x000D_
_x000D_
_x000D_
_x000D_
Saturday, 23 July 2016 at 11:00 UTC-05_x000D_
_x000D_
More than a year ago</t>
  </si>
  <si>
    <t>_x000D_
_x000D_
_x000D_
_x000D_
_x000D_
pin_x000D_
_x000D_
_x000D_
_x000D_
_x000D_
_x000D_
_x000D_
Palacio de los Deportes_x000D_
08400 Guadalajara, Jalisco_x000D_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Just for fun_x000D_
_x000D_
_x000D_
_x000D_
_x000D_
_x000D_
_x000D_
Get Directions</t>
  </si>
  <si>
    <t>INTERESTED (7996)</t>
  </si>
  <si>
    <t>WENT (4759)</t>
  </si>
  <si>
    <t>INVITED (3527)</t>
  </si>
  <si>
    <t>Tomorrowland Presents: UNITE - Colombia</t>
  </si>
  <si>
    <t>_x000D_
_x000D_
_x000D_
_x000D_
_x000D_
pin_x000D_
_x000D_
_x000D_
_x000D_
_x000D_
_x000D_
_x000D_
Centro De Eventos Autopista Norte_x000D_
Pacajus, Ceara, Brazil_x000D_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Performance &amp; event venue_x000D_
_x000D_
_x000D_
_x000D_
_x000D_
_x000D_
_x000D_
_x000D_
_x000D_
_x000D_
_x000D_
_x000D_
_x000D_
_x000D_
_x000D_
_x000D_
_x000D_
_x000D_
_x000D_
_x000D_
_x000D_
_x000D_
_x000D_
_x000D_
_x000D_
_x000D_
_x000D_
_x000D_
_x000D_
_x000D_
Get Directions</t>
  </si>
  <si>
    <t>INTERESTED (22789)</t>
  </si>
  <si>
    <t>WENT (9039)</t>
  </si>
  <si>
    <t>INVITED (8647)</t>
  </si>
  <si>
    <t>Tomorrowland Presents: UNITE - India</t>
  </si>
  <si>
    <t>_x000D_
_x000D_
_x000D_
_x000D_
_x000D_
clock_x000D_
_x000D_
_x000D_
_x000D_
_x000D_
_x000D_
_x000D_
Saturday, 23 July 2016 at 19:30 UTC+05:30_x000D_
_x000D_
More than a year ago</t>
  </si>
  <si>
    <t>_x000D_
_x000D_
_x000D_
_x000D_
_x000D_
pin_x000D_
_x000D_
_x000D_
_x000D_
_x000D_
_x000D_
_x000D_
Gachibowli Indoor Stadium_x000D_
Gachibowli, Vijayawada, India 520010_x000D_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Performance &amp; event venue_x000D_
_x000D_
_x000D_
_x000D_
_x000D_
_x000D_
_x000D_
_x000D_
_x000D_
_x000D_
_x000D_
_x000D_
_x000D_
_x000D_
_x000D_
_x000D_
_x000D_
_x000D_
_x000D_
_x000D_
_x000D_
_x000D_
_x000D_
_x000D_
_x000D_
_x000D_
+91 99497 01946_x000D_
_x000D_
_x000D_
_x000D_
Get Directions</t>
  </si>
  <si>
    <t>INTERESTED (5021)</t>
  </si>
  <si>
    <t>WENT (3289)</t>
  </si>
  <si>
    <t>INVITED (7845)</t>
  </si>
  <si>
    <t>Tomorrowland Presents: UNITE - Japan</t>
  </si>
  <si>
    <t>_x000D_
_x000D_
_x000D_
_x000D_
_x000D_
clock_x000D_
_x000D_
_x000D_
_x000D_
_x000D_
_x000D_
_x000D_
Saturday, 23 July 2016 at 22:00 UTC+09_x000D_
_x000D_
More than a year ago</t>
  </si>
  <si>
    <t>_x000D_
_x000D_
_x000D_
_x000D_
_x000D_
pin_x000D_
_x000D_
_x000D_
_x000D_
_x000D_
_x000D_
_x000D_
Ageha Studio Coast_x000D_
Koto-ku, Tokyo, Japan_x000D_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Local business_x000D_
_x000D_
_x000D_
_x000D_
_x000D_
_x000D_
_x000D_
_x000D_
_x000D_
_x000D_
_x000D_
_x000D_
_x000D_
_x000D_
_x000D_
_x000D_
_x000D_
_x000D_
_x000D_
_x000D_
_x000D_
_x000D_
_x000D_
_x000D_
_x000D_
_x000D_
_x000D_
_x000D_
_x000D_
_x000D_
Get Directions</t>
  </si>
  <si>
    <t>INTERESTED (1134)</t>
  </si>
  <si>
    <t>WENT (563)</t>
  </si>
  <si>
    <t>INVITED (1142)</t>
  </si>
  <si>
    <t>Tomorrowland Presents: UNITE - South-Africa</t>
  </si>
  <si>
    <t>_x000D_
_x000D_
_x000D_
_x000D_
_x000D_
clock_x000D_
_x000D_
_x000D_
_x000D_
_x000D_
_x000D_
_x000D_
Saturday, 23 July 2016 at 14:00 UTC+02_x000D_
_x000D_
More than a year ago</t>
  </si>
  <si>
    <t>_x000D_
_x000D_
_x000D_
_x000D_
_x000D_
pin_x000D_
_x000D_
_x000D_
_x000D_
_x000D_
_x000D_
_x000D_
Ticket Pro Dome_x000D_
Johannesburg, Gauteng_x000D_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Local business_x000D_
_x000D_
_x000D_
_x000D_
_x000D_
_x000D_
_x000D_
_x000D_
_x000D_
_x000D_
_x000D_
_x000D_
_x000D_
_x000D_
_x000D_
_x000D_
_x000D_
_x000D_
_x000D_
_x000D_
_x000D_
_x000D_
_x000D_
_x000D_
_x000D_
_x000D_
_x000D_
_x000D_
_x000D_
_x000D_
Get Directions</t>
  </si>
  <si>
    <t>INTERESTED (15594)</t>
  </si>
  <si>
    <t>WENT (6842)</t>
  </si>
  <si>
    <t>INVITED (9452)</t>
  </si>
  <si>
    <t>Tomorrowland Presents: UNITE - Germany - SOLD OUT</t>
  </si>
  <si>
    <t>_x000D_
_x000D_
_x000D_
_x000D_
_x000D_
clock_x000D_
_x000D_
_x000D_
_x000D_
_x000D_
_x000D_
_x000D_
Saturday, 23 July 2016 at 12:00 UTC+02_x000D_
_x000D_
More than a year ago</t>
  </si>
  <si>
    <t>_x000D_
_x000D_
_x000D_
_x000D_
_x000D_
pin_x000D_
_x000D_
_x000D_
_x000D_
_x000D_
_x000D_
_x000D_
VELTINS-Arena_x000D_
Arenaring 1, 45891 Gelsenkirchen, Germany_x000D_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Performance &amp; event venue_x000D_
_x000D_
_x000D_
_x000D_
_x000D_
_x000D_
_x000D_
_x000D_
_x000D_
_x000D_
_x000D_
_x000D_
_x000D_
_x000D_
_x000D_
_x000D_
_x000D_
_x000D_
_x000D_
_x000D_
_x000D_
_x000D_
_x000D_
_x000D_
_x000D_
_x000D_
+49 180 6 221904_x000D_
_x000D_
kundenservice@schalke04.de_x000D_
_x000D_
Get Directions</t>
  </si>
  <si>
    <t>INTERESTED (51136)</t>
  </si>
  <si>
    <t>WENT (14541)</t>
  </si>
  <si>
    <t>INVITED (13506)</t>
  </si>
  <si>
    <t>JUL_x000D_
_x000D_
22</t>
  </si>
  <si>
    <t>Tomorrowland 2016</t>
  </si>
  <si>
    <t>_x000D_
_x000D_
_x000D_
_x000D_
_x000D_
clock_x000D_
_x000D_
_x000D_
_x000D_
_x000D_
_x000D_
_x000D_
22 July 2016 - 24 July 2016_x000D_
_x000D_
22 July 2016 at 12:00 to 24 July 2016 at 0:00 UTC+02</t>
  </si>
  <si>
    <t>_x000D_
_x000D_
_x000D_
_x000D_
_x000D_
pin_x000D_
_x000D_
_x000D_
_x000D_
_x000D_
_x000D_
_x000D_
De Schorre_x000D_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City_x000D_
_x000D_
_x000D_
_x000D_
_x000D_
_x000D_
_x000D_
_x000D_
_x000D_
_x000D_
_x000D_
_x000D_
_x000D_
_x000D_
_x000D_
_x000D_
_x000D_
_x000D_
_x000D_
_x000D_
_x000D_
_x000D_
_x000D_
_x000D_
_x000D_
_x000D_
+32 484 73 25 83_x000D_
_x000D_
_x000D_
_x000D_
Get Directions</t>
  </si>
  <si>
    <t>INTERESTED (61954)</t>
  </si>
  <si>
    <t>WENT (44310)</t>
  </si>
  <si>
    <t>INVITED (21581)</t>
  </si>
  <si>
    <t>MAY_x000D_
_x000D_
6</t>
  </si>
  <si>
    <t>LOST FREQUENCIES @ Ancienne Belgique - SOLD OUT</t>
  </si>
  <si>
    <t>_x000D_
_x000D_
_x000D_
_x000D_
_x000D_
clock_x000D_
_x000D_
_x000D_
_x000D_
_x000D_
_x000D_
_x000D_
Friday, 6 May 2016 at 20:00 UTC+02_x000D_
_x000D_
More than a year ago</t>
  </si>
  <si>
    <t>INTERESTED (3654)</t>
  </si>
  <si>
    <t>WENT (1574)</t>
  </si>
  <si>
    <t>INVITED (500)</t>
  </si>
  <si>
    <t>MAR_x000D_
_x000D_
30</t>
  </si>
  <si>
    <t>Kygo @ Lotto Arena</t>
  </si>
  <si>
    <t>_x000D_
_x000D_
_x000D_
_x000D_
_x000D_
clock_x000D_
_x000D_
_x000D_
_x000D_
_x000D_
_x000D_
_x000D_
Wednesday, 30 March 2016 at 20:00 UTC+02_x000D_
_x000D_
More than a year ago</t>
  </si>
  <si>
    <t>INTERESTED (12533)</t>
  </si>
  <si>
    <t>WENT (4882)</t>
  </si>
  <si>
    <t>INVITED (1256)</t>
  </si>
  <si>
    <t>DEC_x000D_
_x000D_
1</t>
  </si>
  <si>
    <t>This Was Tomorrow - Global Release</t>
  </si>
  <si>
    <t>_x000D_
_x000D_
_x000D_
_x000D_
_x000D_
clock_x000D_
_x000D_
_x000D_
_x000D_
_x000D_
_x000D_
_x000D_
Tuesday, 1 December 2015 at 15:00 UTC+01_x000D_
_x000D_
More than a year ago</t>
  </si>
  <si>
    <t>INTERESTED (3230)</t>
  </si>
  <si>
    <t>WENT (2605)</t>
  </si>
  <si>
    <t>INVITED (1627)</t>
  </si>
  <si>
    <t>NOV_x000D_
_x000D_
26</t>
  </si>
  <si>
    <t>This Was Tomorrow - Sportpaleis</t>
  </si>
  <si>
    <t>_x000D_
_x000D_
_x000D_
_x000D_
_x000D_
clock_x000D_
_x000D_
_x000D_
_x000D_
_x000D_
_x000D_
_x000D_
Thursday, 26 November 2015 at 20:00 UTC+01_x000D_
_x000D_
More than a year ago</t>
  </si>
  <si>
    <t>INTERESTED (2020)</t>
  </si>
  <si>
    <t>WENT (5676)</t>
  </si>
  <si>
    <t>INVITED (3383)</t>
  </si>
  <si>
    <t>JUL_x000D_
_x000D_
25</t>
  </si>
  <si>
    <t>UNITE, The Mirror to Tomorrowland</t>
  </si>
  <si>
    <t>_x000D_
_x000D_
_x000D_
_x000D_
_x000D_
clock_x000D_
_x000D_
_x000D_
_x000D_
_x000D_
_x000D_
_x000D_
Saturday, 25 July 2015 at 23:00–3:15 UTC+05:30_x000D_
_x000D_
25 July 2015 at 23:00 to 26 July 2015 at 3:15 UTC+05:30</t>
  </si>
  <si>
    <t>_x000D_
_x000D_
_x000D_
_x000D_
_x000D_
pin_x000D_
_x000D_
_x000D_
_x000D_
_x000D_
_x000D_
_x000D_
National Sports Club Of India Worli_x000D_
Mumbai, Maharashtra_x000D_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Local business_x000D_
_x000D_
_x000D_
_x000D_
_x000D_
_x000D_
_x000D_
_x000D_
_x000D_
_x000D_
_x000D_
_x000D_
_x000D_
_x000D_
_x000D_
_x000D_
_x000D_
_x000D_
_x000D_
_x000D_
_x000D_
_x000D_
_x000D_
_x000D_
_x000D_
_x000D_
+55 21 98175-3535_x000D_
_x000D_
_x000D_
_x000D_
Get Directions</t>
  </si>
  <si>
    <t>INTERESTED (354)</t>
  </si>
  <si>
    <t>WENT (7264)</t>
  </si>
  <si>
    <t>INVITED (5245)</t>
  </si>
  <si>
    <t>_x000D_
_x000D_
_x000D_
_x000D_
_x000D_
clock_x000D_
_x000D_
_x000D_
_x000D_
_x000D_
_x000D_
_x000D_
Saturday, 25 July 2015 at 11:00 UTC-05_x000D_
_x000D_
More than a year ago</t>
  </si>
  <si>
    <t>_x000D_
_x000D_
_x000D_
_x000D_
_x000D_
pin_x000D_
_x000D_
_x000D_
_x000D_
_x000D_
_x000D_
_x000D_
Palacio de los Deportes_x000D_
Eje 3 Sur (Añil) 465, 08400 Mexico City, Mexico_x000D_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Performance &amp; event venue_x000D_
_x000D_
_x000D_
_x000D_
_x000D_
_x000D_
_x000D_
_x000D_
_x000D_
_x000D_
_x000D_
_x000D_
_x000D_
_x000D_
_x000D_
_x000D_
_x000D_
_x000D_
_x000D_
_x000D_
_x000D_
_x000D_
_x000D_
_x000D_
_x000D_
_x000D_
_x000D_
_x000D_
_x000D_
_x000D_
Get Directions</t>
  </si>
  <si>
    <t>INTERESTED (613)</t>
  </si>
  <si>
    <t>WENT (15032)</t>
  </si>
  <si>
    <t>INVITED (5905)</t>
  </si>
  <si>
    <t>JUL_x000D_
_x000D_
24</t>
  </si>
  <si>
    <t>Tomorrowland 2015</t>
  </si>
  <si>
    <t>_x000D_
_x000D_
_x000D_
_x000D_
_x000D_
clock_x000D_
_x000D_
_x000D_
_x000D_
_x000D_
_x000D_
_x000D_
24 July 2015 - 26 July 2015_x000D_
_x000D_
24 July 2015 at 12:00 to 26 July 2015 at 0:00 UTC+02</t>
  </si>
  <si>
    <t>INTERESTED (2061)</t>
  </si>
  <si>
    <t>WENT (59139)</t>
  </si>
  <si>
    <t>INVITED (15556)</t>
  </si>
  <si>
    <t>Tomorrowland 2014 - Weekend 2</t>
  </si>
  <si>
    <t>_x000D_
_x000D_
_x000D_
_x000D_
_x000D_
clock_x000D_
_x000D_
_x000D_
_x000D_
_x000D_
_x000D_
_x000D_
25 July 2014 - 27 July 2014_x000D_
_x000D_
25 July 2014 at 0:00 to 27 July 2014 at 12:00 UTC+02</t>
  </si>
  <si>
    <t>INTERESTED (1731)</t>
  </si>
  <si>
    <t>WENT (35127)</t>
  </si>
  <si>
    <t>INVITED (13985)</t>
  </si>
  <si>
    <t>JUL_x000D_
_x000D_
18</t>
  </si>
  <si>
    <t>Tomorrowland 2014 - Weekend 1</t>
  </si>
  <si>
    <t>_x000D_
_x000D_
_x000D_
_x000D_
_x000D_
clock_x000D_
_x000D_
_x000D_
_x000D_
_x000D_
_x000D_
_x000D_
18 July 2014 - 20 July 2014_x000D_
_x000D_
18 July 2014 at 0:00 to 20 July 2014 at 12:00 UTC+02</t>
  </si>
  <si>
    <t>INTERESTED (2662)</t>
  </si>
  <si>
    <t>WENT (38923)</t>
  </si>
  <si>
    <t>INVITED (19589)</t>
  </si>
  <si>
    <t>SEPT_x000D_
_x000D_
27</t>
  </si>
  <si>
    <t>TomorrowWorld</t>
  </si>
  <si>
    <t>_x000D_
_x000D_
_x000D_
_x000D_
_x000D_
clock_x000D_
_x000D_
_x000D_
_x000D_
_x000D_
_x000D_
_x000D_
27 September 2013 - 29 September 2013_x000D_
_x000D_
27 September 2013 at 0:00 to 29 September 2013 at 12:00 UTC+02</t>
  </si>
  <si>
    <t>_x000D_
_x000D_
_x000D_
_x000D_
_x000D_
pin_x000D_
_x000D_
_x000D_
_x000D_
_x000D_
_x000D_
_x000D_
Chattahoochee hills GA_x000D_
Chattahoochee Hills, Georgia_x000D_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Local business_x000D_
_x000D_
_x000D_
_x000D_
_x000D_
_x000D_
_x000D_
_x000D_
_x000D_
_x000D_
_x000D_
_x000D_
_x000D_
_x000D_
_x000D_
_x000D_
_x000D_
_x000D_
_x000D_
_x000D_
_x000D_
_x000D_
_x000D_
_x000D_
_x000D_
_x000D_
_x000D_
_x000D_
_x000D_
_x000D_
Get Directions</t>
  </si>
  <si>
    <t>INTERESTED (8711)</t>
  </si>
  <si>
    <t>WENT (53044)</t>
  </si>
  <si>
    <t>INVITED (68483)</t>
  </si>
  <si>
    <t>JUL_x000D_
_x000D_
26</t>
  </si>
  <si>
    <t>Tomorrowland 2013</t>
  </si>
  <si>
    <t>_x000D_
_x000D_
_x000D_
_x000D_
_x000D_
clock_x000D_
_x000D_
_x000D_
_x000D_
_x000D_
_x000D_
_x000D_
26 July 2013 - 28 July 2013_x000D_
_x000D_
26 July 2013 at 0:00 to 28 July 2013 at 12:00 UTC+02</t>
  </si>
  <si>
    <t>INTERESTED (17522)</t>
  </si>
  <si>
    <t>WENT (87739)</t>
  </si>
  <si>
    <t>INVITED (83285)</t>
  </si>
  <si>
    <t>SEPT_x000D_
_x000D_
10</t>
  </si>
  <si>
    <t>Avant Premiere Tomorrowland 2012 Aftermovie</t>
  </si>
  <si>
    <t>_x000D_
_x000D_
_x000D_
_x000D_
_x000D_
clock_x000D_
_x000D_
_x000D_
_x000D_
_x000D_
_x000D_
_x000D_
Monday, 10 September 2012 at 12:30 UTC+02_x000D_
_x000D_
More than a year ago</t>
  </si>
  <si>
    <t>_x000D_
_x000D_
_x000D_
_x000D_
_x000D_
pin_x000D_
_x000D_
_x000D_
_x000D_
_x000D_
_x000D_
_x000D_
Stadsschouwburg Antwerpen_x000D_
Theaterplein 1, 2000 Antwerp, Belgium_x000D_
_x000D_
_x000D_
_x000D_
_x000D_
_x000D_
_x000D_
Show map_x000D_
_x000D_
_x000D_
_x000D_
_x000D_
Hide Map_x000D_
_x000D_
_x000D_
_x000D_
_x000D_
_x000D_
_x000D_
_x000D_
_x000D_
_x000D_
_x000D_
_x000D_
_x000D_
_x000D_
_x000D_
_x000D_
_x000D_
_x000D_
_x000D_
_x000D_
_x000D_
_x000D_
_x000D_
_x000D_
_x000D_
Performance art theatre_x000D_
_x000D_
_x000D_
_x000D_
_x000D_
_x000D_
_x000D_
_x000D_
_x000D_
_x000D_
_x000D_
_x000D_
_x000D_
_x000D_
_x000D_
_x000D_
_x000D_
_x000D_
_x000D_
_x000D_
_x000D_
_x000D_
_x000D_
_x000D_
_x000D_
_x000D_
+32 900 69 900_x000D_
_x000D_
info@stadsschouwburgantwerpen.be_x000D_
_x000D_
Get Directions</t>
  </si>
  <si>
    <t>INTERESTED (3111)</t>
  </si>
  <si>
    <t>WENT (2850)</t>
  </si>
  <si>
    <t>INVITED (4409)</t>
  </si>
  <si>
    <t>Tomorrowland 2012</t>
  </si>
  <si>
    <t>_x000D_
_x000D_
_x000D_
_x000D_
_x000D_
clock_x000D_
_x000D_
_x000D_
_x000D_
_x000D_
_x000D_
_x000D_
27 July 2012 - 29 July 2012_x000D_
_x000D_
27 July 2012 at 12:00 to 29 July 2012 at 23:30 PDT</t>
  </si>
  <si>
    <t>INTERESTED (20816)</t>
  </si>
  <si>
    <t>WENT (112069)</t>
  </si>
  <si>
    <t>INVITED (88593)</t>
  </si>
  <si>
    <t>GOING (11927)</t>
  </si>
  <si>
    <t>INTERESTED (25098)</t>
  </si>
  <si>
    <t>INTERESTED (26078)</t>
  </si>
  <si>
    <t>GOING (5929)</t>
  </si>
  <si>
    <t>INTERESTED (52485)</t>
  </si>
  <si>
    <t>GOING (5933)</t>
  </si>
  <si>
    <t>INVITED (5110)</t>
  </si>
  <si>
    <t>Date</t>
  </si>
  <si>
    <t>Location</t>
  </si>
  <si>
    <t>Interested</t>
  </si>
  <si>
    <t>Going</t>
  </si>
  <si>
    <t>Invited</t>
  </si>
  <si>
    <t>Year</t>
  </si>
  <si>
    <t>Country</t>
  </si>
  <si>
    <t>City</t>
  </si>
  <si>
    <t>Abu Dhabi</t>
  </si>
  <si>
    <t>United Arab Emirates</t>
  </si>
  <si>
    <t>Tokyo</t>
  </si>
  <si>
    <t>Japan</t>
  </si>
  <si>
    <t>Brussels</t>
  </si>
  <si>
    <t>Belgium</t>
  </si>
  <si>
    <t>Beirut</t>
  </si>
  <si>
    <t>Lebanon</t>
  </si>
  <si>
    <t>Ceara</t>
  </si>
  <si>
    <t>Brazil</t>
  </si>
  <si>
    <t>Mexico City</t>
  </si>
  <si>
    <t>Mexico</t>
  </si>
  <si>
    <t>Boom</t>
  </si>
  <si>
    <t>India</t>
  </si>
  <si>
    <t>Gachibowli</t>
  </si>
  <si>
    <t>Jerusalem</t>
  </si>
  <si>
    <t>Israel</t>
  </si>
  <si>
    <t>guadalajara</t>
  </si>
  <si>
    <t>Santa Coloma de Gramenet</t>
  </si>
  <si>
    <t>Spain</t>
  </si>
  <si>
    <t>Monza</t>
  </si>
  <si>
    <t>Italy</t>
  </si>
  <si>
    <t>Taipei</t>
  </si>
  <si>
    <t>Taiwan</t>
  </si>
  <si>
    <t>Gauteng</t>
  </si>
  <si>
    <t>SouthAfrical</t>
  </si>
  <si>
    <t>Huez</t>
  </si>
  <si>
    <t>France</t>
  </si>
  <si>
    <t>Ibiza</t>
  </si>
  <si>
    <t>Gelsenkirchen</t>
  </si>
  <si>
    <t>Germany</t>
  </si>
  <si>
    <t>Antwerp</t>
  </si>
  <si>
    <t>Malta</t>
  </si>
  <si>
    <t>Marsa</t>
  </si>
  <si>
    <t>Mumbai</t>
  </si>
  <si>
    <t>Chattahoochee Hills</t>
  </si>
  <si>
    <t>USA</t>
  </si>
  <si>
    <t>city</t>
  </si>
  <si>
    <t>Coutry</t>
  </si>
  <si>
    <t xml:space="preserve">Tomorrowland Presents: UNITE - Germany </t>
  </si>
  <si>
    <t>LOST FREQUENCIES @ Ancienne Belgique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</si>
</sst>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93AA-A6DE-43C1-BC70-0352FF62E17D}">
  <sheetPr codeName="Sheet1"/>
  <dimension ref="A1:H43"/>
  <sheetViews>
    <sheetView topLeftCell="A15" zoomScaleNormal="100" workbookViewId="0">
      <selection activeCell="A33" sqref="A33"/>
    </sheetView>
  </sheetViews>
  <sheetFormatPr defaultRowHeight="14.5" customHeight="1" x14ac:dyDescent="0.35"/>
  <cols>
    <col min="1" max="1" width="57.36328125" bestFit="1" customWidth="1"/>
    <col min="2" max="2" width="17" style="1" bestFit="1" customWidth="1"/>
    <col min="5" max="5" width="9.26953125" bestFit="1" customWidth="1"/>
    <col min="7" max="7" width="28.36328125" style="3" bestFit="1" customWidth="1"/>
  </cols>
  <sheetData>
    <row r="1" spans="1:8" ht="14.5" customHeight="1" x14ac:dyDescent="0.35">
      <c r="A1" t="s">
        <v>42</v>
      </c>
      <c r="B1" s="1" t="s">
        <v>43</v>
      </c>
    </row>
    <row r="2" spans="1:8" ht="14.5" customHeight="1" x14ac:dyDescent="0.35">
      <c r="A2" t="s">
        <v>0</v>
      </c>
      <c r="B2" s="3" t="s">
        <v>90</v>
      </c>
      <c r="C2" t="s">
        <v>39</v>
      </c>
      <c r="D2" t="s">
        <v>40</v>
      </c>
      <c r="E2" t="s">
        <v>41</v>
      </c>
      <c r="F2" t="s">
        <v>50</v>
      </c>
      <c r="G2" s="3" t="s">
        <v>90</v>
      </c>
      <c r="H2" t="s">
        <v>51</v>
      </c>
    </row>
    <row r="3" spans="1:8" ht="14.5" customHeight="1" x14ac:dyDescent="0.35">
      <c r="A3" t="s">
        <v>1</v>
      </c>
      <c r="B3" s="3" t="s">
        <v>91</v>
      </c>
      <c r="C3" t="s">
        <v>39</v>
      </c>
      <c r="D3" t="s">
        <v>40</v>
      </c>
      <c r="E3" t="s">
        <v>41</v>
      </c>
      <c r="F3" t="s">
        <v>50</v>
      </c>
      <c r="G3" s="3" t="s">
        <v>91</v>
      </c>
      <c r="H3" t="s">
        <v>52</v>
      </c>
    </row>
    <row r="4" spans="1:8" ht="14.5" customHeight="1" x14ac:dyDescent="0.35">
      <c r="A4" t="s">
        <v>2</v>
      </c>
      <c r="B4" s="3" t="s">
        <v>92</v>
      </c>
      <c r="C4" t="s">
        <v>39</v>
      </c>
      <c r="D4" t="s">
        <v>40</v>
      </c>
      <c r="E4" t="s">
        <v>41</v>
      </c>
      <c r="F4" t="s">
        <v>50</v>
      </c>
      <c r="G4" s="3" t="s">
        <v>92</v>
      </c>
      <c r="H4" t="s">
        <v>53</v>
      </c>
    </row>
    <row r="5" spans="1:8" ht="14.5" customHeight="1" x14ac:dyDescent="0.35">
      <c r="A5" t="s">
        <v>3</v>
      </c>
      <c r="B5" s="3" t="s">
        <v>93</v>
      </c>
      <c r="C5" t="s">
        <v>39</v>
      </c>
      <c r="D5" t="s">
        <v>40</v>
      </c>
      <c r="E5" t="s">
        <v>41</v>
      </c>
      <c r="F5" t="s">
        <v>50</v>
      </c>
      <c r="G5" s="3" t="s">
        <v>93</v>
      </c>
      <c r="H5" t="s">
        <v>54</v>
      </c>
    </row>
    <row r="6" spans="1:8" ht="14.5" customHeight="1" x14ac:dyDescent="0.35">
      <c r="A6" t="s">
        <v>4</v>
      </c>
      <c r="B6" s="3" t="s">
        <v>94</v>
      </c>
      <c r="C6" t="s">
        <v>39</v>
      </c>
      <c r="D6" t="s">
        <v>40</v>
      </c>
      <c r="E6" t="s">
        <v>41</v>
      </c>
      <c r="F6" t="s">
        <v>50</v>
      </c>
      <c r="G6" s="3" t="s">
        <v>94</v>
      </c>
      <c r="H6" t="s">
        <v>55</v>
      </c>
    </row>
    <row r="7" spans="1:8" ht="14.5" customHeight="1" x14ac:dyDescent="0.35">
      <c r="A7" t="s">
        <v>5</v>
      </c>
      <c r="B7" s="3" t="s">
        <v>95</v>
      </c>
      <c r="C7" t="s">
        <v>39</v>
      </c>
      <c r="D7" t="s">
        <v>40</v>
      </c>
      <c r="E7" t="s">
        <v>41</v>
      </c>
      <c r="F7" t="s">
        <v>50</v>
      </c>
      <c r="G7" s="3" t="s">
        <v>95</v>
      </c>
      <c r="H7" t="s">
        <v>56</v>
      </c>
    </row>
    <row r="8" spans="1:8" ht="14.5" customHeight="1" x14ac:dyDescent="0.35">
      <c r="A8" t="s">
        <v>9</v>
      </c>
      <c r="B8" s="3" t="s">
        <v>96</v>
      </c>
      <c r="C8" t="s">
        <v>39</v>
      </c>
      <c r="D8" t="s">
        <v>40</v>
      </c>
      <c r="E8" t="s">
        <v>41</v>
      </c>
      <c r="F8" t="s">
        <v>50</v>
      </c>
      <c r="G8" s="3" t="s">
        <v>96</v>
      </c>
      <c r="H8" t="s">
        <v>57</v>
      </c>
    </row>
    <row r="9" spans="1:8" ht="14.5" customHeight="1" x14ac:dyDescent="0.35">
      <c r="A9" t="s">
        <v>10</v>
      </c>
      <c r="B9" s="3" t="s">
        <v>97</v>
      </c>
      <c r="C9" t="s">
        <v>39</v>
      </c>
      <c r="D9" t="s">
        <v>40</v>
      </c>
      <c r="E9" t="s">
        <v>41</v>
      </c>
      <c r="F9" t="s">
        <v>50</v>
      </c>
      <c r="G9" s="3" t="s">
        <v>97</v>
      </c>
      <c r="H9" t="s">
        <v>58</v>
      </c>
    </row>
    <row r="10" spans="1:8" ht="14.5" customHeight="1" x14ac:dyDescent="0.35">
      <c r="A10" t="s">
        <v>11</v>
      </c>
      <c r="B10" s="3" t="s">
        <v>98</v>
      </c>
      <c r="C10" t="s">
        <v>39</v>
      </c>
      <c r="D10" t="s">
        <v>40</v>
      </c>
      <c r="E10" t="s">
        <v>41</v>
      </c>
      <c r="F10" t="s">
        <v>50</v>
      </c>
      <c r="G10" s="3" t="s">
        <v>98</v>
      </c>
      <c r="H10" t="s">
        <v>59</v>
      </c>
    </row>
    <row r="11" spans="1:8" ht="14.5" customHeight="1" x14ac:dyDescent="0.35">
      <c r="A11" t="s">
        <v>12</v>
      </c>
      <c r="B11" s="3" t="s">
        <v>99</v>
      </c>
      <c r="C11" t="s">
        <v>39</v>
      </c>
      <c r="D11" t="s">
        <v>40</v>
      </c>
      <c r="E11" t="s">
        <v>41</v>
      </c>
      <c r="F11" t="s">
        <v>50</v>
      </c>
      <c r="G11" s="3" t="s">
        <v>99</v>
      </c>
      <c r="H11" t="s">
        <v>60</v>
      </c>
    </row>
    <row r="12" spans="1:8" ht="14.5" customHeight="1" x14ac:dyDescent="0.35">
      <c r="A12" t="s">
        <v>13</v>
      </c>
      <c r="B12" s="3" t="s">
        <v>100</v>
      </c>
      <c r="C12" t="s">
        <v>39</v>
      </c>
      <c r="D12" t="s">
        <v>40</v>
      </c>
      <c r="E12" t="s">
        <v>41</v>
      </c>
      <c r="F12" t="s">
        <v>50</v>
      </c>
      <c r="G12" s="3" t="s">
        <v>100</v>
      </c>
      <c r="H12" t="s">
        <v>61</v>
      </c>
    </row>
    <row r="13" spans="1:8" ht="14.5" customHeight="1" x14ac:dyDescent="0.35">
      <c r="A13" t="s">
        <v>14</v>
      </c>
      <c r="B13" s="3" t="s">
        <v>101</v>
      </c>
      <c r="C13" t="s">
        <v>39</v>
      </c>
      <c r="D13" t="s">
        <v>40</v>
      </c>
      <c r="E13" t="s">
        <v>41</v>
      </c>
      <c r="F13" t="s">
        <v>50</v>
      </c>
      <c r="G13" s="3" t="s">
        <v>101</v>
      </c>
      <c r="H13" t="s">
        <v>62</v>
      </c>
    </row>
    <row r="14" spans="1:8" ht="14.5" customHeight="1" x14ac:dyDescent="0.35">
      <c r="A14" t="s">
        <v>6</v>
      </c>
      <c r="B14" s="3" t="s">
        <v>102</v>
      </c>
      <c r="C14" t="s">
        <v>39</v>
      </c>
      <c r="D14" t="s">
        <v>40</v>
      </c>
      <c r="E14" t="s">
        <v>41</v>
      </c>
      <c r="F14" t="s">
        <v>50</v>
      </c>
      <c r="G14" s="3" t="s">
        <v>102</v>
      </c>
      <c r="H14" t="s">
        <v>63</v>
      </c>
    </row>
    <row r="15" spans="1:8" ht="14.5" customHeight="1" x14ac:dyDescent="0.35">
      <c r="A15" t="s">
        <v>7</v>
      </c>
      <c r="B15" s="3" t="s">
        <v>103</v>
      </c>
      <c r="C15" t="s">
        <v>39</v>
      </c>
      <c r="D15" t="s">
        <v>40</v>
      </c>
      <c r="E15" t="s">
        <v>41</v>
      </c>
      <c r="F15" t="s">
        <v>50</v>
      </c>
      <c r="G15" s="3" t="s">
        <v>103</v>
      </c>
      <c r="H15" t="s">
        <v>64</v>
      </c>
    </row>
    <row r="16" spans="1:8" ht="14.5" customHeight="1" x14ac:dyDescent="0.35">
      <c r="A16" t="s">
        <v>8</v>
      </c>
      <c r="B16" s="3" t="s">
        <v>104</v>
      </c>
      <c r="C16" t="s">
        <v>39</v>
      </c>
      <c r="D16" t="s">
        <v>40</v>
      </c>
      <c r="E16" t="s">
        <v>41</v>
      </c>
      <c r="F16" t="s">
        <v>50</v>
      </c>
      <c r="G16" s="3" t="s">
        <v>104</v>
      </c>
      <c r="H16" t="s">
        <v>65</v>
      </c>
    </row>
    <row r="17" spans="1:8" ht="14.5" customHeight="1" x14ac:dyDescent="0.35">
      <c r="A17" t="s">
        <v>15</v>
      </c>
      <c r="B17" s="3" t="s">
        <v>105</v>
      </c>
      <c r="C17" t="s">
        <v>39</v>
      </c>
      <c r="D17" t="s">
        <v>40</v>
      </c>
      <c r="E17" t="s">
        <v>41</v>
      </c>
      <c r="F17" t="s">
        <v>50</v>
      </c>
      <c r="G17" s="3" t="s">
        <v>105</v>
      </c>
      <c r="H17" t="s">
        <v>66</v>
      </c>
    </row>
    <row r="18" spans="1:8" ht="14.5" customHeight="1" x14ac:dyDescent="0.35">
      <c r="A18" t="s">
        <v>16</v>
      </c>
      <c r="B18" s="3" t="s">
        <v>106</v>
      </c>
      <c r="C18" t="s">
        <v>39</v>
      </c>
      <c r="D18" t="s">
        <v>40</v>
      </c>
      <c r="E18" t="s">
        <v>41</v>
      </c>
      <c r="F18" t="s">
        <v>50</v>
      </c>
      <c r="G18" s="3" t="s">
        <v>106</v>
      </c>
      <c r="H18" t="s">
        <v>67</v>
      </c>
    </row>
    <row r="19" spans="1:8" ht="14.5" customHeight="1" x14ac:dyDescent="0.35">
      <c r="A19" t="s">
        <v>17</v>
      </c>
      <c r="B19" s="3" t="s">
        <v>107</v>
      </c>
      <c r="C19" t="s">
        <v>39</v>
      </c>
      <c r="D19" t="s">
        <v>40</v>
      </c>
      <c r="E19" t="s">
        <v>41</v>
      </c>
      <c r="F19" t="s">
        <v>50</v>
      </c>
      <c r="G19" s="3" t="s">
        <v>107</v>
      </c>
      <c r="H19" t="s">
        <v>68</v>
      </c>
    </row>
    <row r="20" spans="1:8" ht="14.5" customHeight="1" x14ac:dyDescent="0.35">
      <c r="A20" t="s">
        <v>0</v>
      </c>
      <c r="B20" s="3" t="s">
        <v>108</v>
      </c>
      <c r="C20" t="s">
        <v>39</v>
      </c>
      <c r="D20" t="s">
        <v>40</v>
      </c>
      <c r="E20" t="s">
        <v>41</v>
      </c>
      <c r="F20" t="s">
        <v>50</v>
      </c>
      <c r="G20" s="3" t="s">
        <v>108</v>
      </c>
      <c r="H20" t="s">
        <v>51</v>
      </c>
    </row>
    <row r="21" spans="1:8" ht="14.5" customHeight="1" x14ac:dyDescent="0.35">
      <c r="A21" t="s">
        <v>15</v>
      </c>
      <c r="B21" s="3" t="s">
        <v>109</v>
      </c>
      <c r="C21" t="s">
        <v>39</v>
      </c>
      <c r="D21" t="s">
        <v>40</v>
      </c>
      <c r="E21" t="s">
        <v>41</v>
      </c>
      <c r="F21" t="s">
        <v>50</v>
      </c>
      <c r="G21" s="3" t="s">
        <v>109</v>
      </c>
      <c r="H21" t="s">
        <v>66</v>
      </c>
    </row>
    <row r="22" spans="1:8" ht="14.5" customHeight="1" x14ac:dyDescent="0.35">
      <c r="A22" t="s">
        <v>18</v>
      </c>
      <c r="B22" s="3" t="s">
        <v>110</v>
      </c>
      <c r="C22" t="s">
        <v>39</v>
      </c>
      <c r="D22" t="s">
        <v>40</v>
      </c>
      <c r="E22" t="s">
        <v>41</v>
      </c>
      <c r="F22" t="s">
        <v>50</v>
      </c>
      <c r="G22" s="3" t="s">
        <v>110</v>
      </c>
      <c r="H22" t="s">
        <v>69</v>
      </c>
    </row>
    <row r="23" spans="1:8" ht="14.5" customHeight="1" x14ac:dyDescent="0.35">
      <c r="A23" t="s">
        <v>19</v>
      </c>
      <c r="B23" s="3" t="s">
        <v>111</v>
      </c>
      <c r="C23" t="s">
        <v>39</v>
      </c>
      <c r="D23" t="s">
        <v>40</v>
      </c>
      <c r="E23" t="s">
        <v>41</v>
      </c>
      <c r="F23" t="s">
        <v>50</v>
      </c>
      <c r="G23" s="3" t="s">
        <v>111</v>
      </c>
      <c r="H23" t="s">
        <v>70</v>
      </c>
    </row>
    <row r="24" spans="1:8" ht="14.5" customHeight="1" x14ac:dyDescent="0.35">
      <c r="A24" t="s">
        <v>20</v>
      </c>
      <c r="B24" s="3" t="s">
        <v>112</v>
      </c>
      <c r="C24" t="s">
        <v>39</v>
      </c>
      <c r="D24" t="s">
        <v>40</v>
      </c>
      <c r="E24" t="s">
        <v>41</v>
      </c>
      <c r="F24" t="s">
        <v>50</v>
      </c>
      <c r="G24" s="3" t="s">
        <v>112</v>
      </c>
      <c r="H24" t="s">
        <v>71</v>
      </c>
    </row>
    <row r="25" spans="1:8" ht="14.5" customHeight="1" x14ac:dyDescent="0.35">
      <c r="A25" t="s">
        <v>21</v>
      </c>
      <c r="B25" s="3" t="s">
        <v>113</v>
      </c>
      <c r="C25" t="s">
        <v>39</v>
      </c>
      <c r="D25" t="s">
        <v>40</v>
      </c>
      <c r="E25" t="s">
        <v>41</v>
      </c>
      <c r="F25" t="s">
        <v>50</v>
      </c>
      <c r="G25" s="3" t="s">
        <v>113</v>
      </c>
      <c r="H25" t="s">
        <v>72</v>
      </c>
    </row>
    <row r="26" spans="1:8" ht="14.5" customHeight="1" x14ac:dyDescent="0.35">
      <c r="A26" t="s">
        <v>22</v>
      </c>
      <c r="B26" s="3" t="s">
        <v>114</v>
      </c>
      <c r="C26" t="s">
        <v>39</v>
      </c>
      <c r="D26" t="s">
        <v>40</v>
      </c>
      <c r="E26" t="s">
        <v>41</v>
      </c>
      <c r="F26" t="s">
        <v>50</v>
      </c>
      <c r="G26" s="3" t="s">
        <v>114</v>
      </c>
      <c r="H26" t="s">
        <v>73</v>
      </c>
    </row>
    <row r="27" spans="1:8" ht="14.5" customHeight="1" x14ac:dyDescent="0.35">
      <c r="A27" t="s">
        <v>23</v>
      </c>
      <c r="B27" s="3" t="s">
        <v>115</v>
      </c>
      <c r="C27" t="s">
        <v>39</v>
      </c>
      <c r="D27" t="s">
        <v>40</v>
      </c>
      <c r="E27" t="s">
        <v>41</v>
      </c>
      <c r="F27" t="s">
        <v>50</v>
      </c>
      <c r="G27" s="3" t="s">
        <v>115</v>
      </c>
      <c r="H27" t="s">
        <v>74</v>
      </c>
    </row>
    <row r="28" spans="1:8" ht="14.5" customHeight="1" x14ac:dyDescent="0.35">
      <c r="A28" t="s">
        <v>24</v>
      </c>
      <c r="B28" s="3" t="s">
        <v>116</v>
      </c>
      <c r="C28" t="s">
        <v>39</v>
      </c>
      <c r="D28" t="s">
        <v>40</v>
      </c>
      <c r="E28" t="s">
        <v>41</v>
      </c>
      <c r="F28" t="s">
        <v>50</v>
      </c>
      <c r="G28" s="3" t="s">
        <v>116</v>
      </c>
      <c r="H28" t="s">
        <v>75</v>
      </c>
    </row>
    <row r="29" spans="1:8" ht="14.5" customHeight="1" x14ac:dyDescent="0.35">
      <c r="A29" t="s">
        <v>25</v>
      </c>
      <c r="B29" s="3" t="s">
        <v>117</v>
      </c>
      <c r="C29" t="s">
        <v>39</v>
      </c>
      <c r="D29" t="s">
        <v>40</v>
      </c>
      <c r="E29" t="s">
        <v>41</v>
      </c>
      <c r="F29" t="s">
        <v>50</v>
      </c>
      <c r="G29" s="3" t="s">
        <v>117</v>
      </c>
      <c r="H29" t="s">
        <v>76</v>
      </c>
    </row>
    <row r="30" spans="1:8" ht="14.5" customHeight="1" x14ac:dyDescent="0.35">
      <c r="A30" t="s">
        <v>26</v>
      </c>
      <c r="B30" s="3" t="s">
        <v>118</v>
      </c>
      <c r="C30" t="s">
        <v>39</v>
      </c>
      <c r="D30" t="s">
        <v>40</v>
      </c>
      <c r="E30" t="s">
        <v>41</v>
      </c>
      <c r="F30" t="s">
        <v>50</v>
      </c>
      <c r="G30" s="3" t="s">
        <v>118</v>
      </c>
      <c r="H30" t="s">
        <v>77</v>
      </c>
    </row>
    <row r="31" spans="1:8" ht="14.5" customHeight="1" x14ac:dyDescent="0.35">
      <c r="A31" t="s">
        <v>27</v>
      </c>
      <c r="B31" s="3" t="s">
        <v>119</v>
      </c>
      <c r="C31" t="s">
        <v>39</v>
      </c>
      <c r="D31" t="s">
        <v>40</v>
      </c>
      <c r="E31" t="s">
        <v>41</v>
      </c>
      <c r="F31" t="s">
        <v>50</v>
      </c>
      <c r="G31" s="3" t="s">
        <v>119</v>
      </c>
      <c r="H31" t="s">
        <v>78</v>
      </c>
    </row>
    <row r="32" spans="1:8" ht="14.5" customHeight="1" x14ac:dyDescent="0.35">
      <c r="A32" t="s">
        <v>28</v>
      </c>
      <c r="B32" s="3" t="s">
        <v>120</v>
      </c>
      <c r="C32" t="s">
        <v>39</v>
      </c>
      <c r="D32" t="s">
        <v>40</v>
      </c>
      <c r="E32" t="s">
        <v>41</v>
      </c>
      <c r="F32" t="s">
        <v>50</v>
      </c>
      <c r="G32" s="3" t="s">
        <v>120</v>
      </c>
      <c r="H32" t="s">
        <v>79</v>
      </c>
    </row>
    <row r="33" spans="1:8" ht="14.5" customHeight="1" x14ac:dyDescent="0.35">
      <c r="A33" t="s">
        <v>29</v>
      </c>
      <c r="B33" s="3" t="s">
        <v>121</v>
      </c>
      <c r="C33" t="s">
        <v>39</v>
      </c>
      <c r="D33" t="s">
        <v>40</v>
      </c>
      <c r="E33" t="s">
        <v>41</v>
      </c>
      <c r="F33" t="s">
        <v>50</v>
      </c>
      <c r="G33" s="3" t="s">
        <v>121</v>
      </c>
      <c r="H33" t="s">
        <v>80</v>
      </c>
    </row>
    <row r="34" spans="1:8" ht="14.5" customHeight="1" x14ac:dyDescent="0.35">
      <c r="A34" t="s">
        <v>30</v>
      </c>
      <c r="B34" s="3" t="s">
        <v>122</v>
      </c>
      <c r="C34" t="s">
        <v>39</v>
      </c>
      <c r="D34" t="s">
        <v>40</v>
      </c>
      <c r="E34" t="s">
        <v>41</v>
      </c>
      <c r="F34" t="s">
        <v>50</v>
      </c>
      <c r="G34" s="3" t="s">
        <v>122</v>
      </c>
      <c r="H34" t="s">
        <v>81</v>
      </c>
    </row>
    <row r="35" spans="1:8" ht="14.5" customHeight="1" x14ac:dyDescent="0.35">
      <c r="A35" t="s">
        <v>31</v>
      </c>
      <c r="B35" s="3" t="s">
        <v>123</v>
      </c>
      <c r="C35" t="s">
        <v>39</v>
      </c>
      <c r="D35" t="s">
        <v>40</v>
      </c>
      <c r="E35" t="s">
        <v>41</v>
      </c>
      <c r="F35" t="s">
        <v>50</v>
      </c>
      <c r="G35" s="3" t="s">
        <v>123</v>
      </c>
      <c r="H35" t="s">
        <v>82</v>
      </c>
    </row>
    <row r="36" spans="1:8" ht="14.5" customHeight="1" x14ac:dyDescent="0.35">
      <c r="A36" t="s">
        <v>31</v>
      </c>
      <c r="B36" s="3" t="s">
        <v>124</v>
      </c>
      <c r="C36" t="s">
        <v>39</v>
      </c>
      <c r="D36" t="s">
        <v>40</v>
      </c>
      <c r="E36" t="s">
        <v>41</v>
      </c>
      <c r="F36" t="s">
        <v>50</v>
      </c>
      <c r="G36" s="3" t="s">
        <v>124</v>
      </c>
      <c r="H36" t="s">
        <v>82</v>
      </c>
    </row>
    <row r="37" spans="1:8" ht="14.5" customHeight="1" x14ac:dyDescent="0.35">
      <c r="A37" t="s">
        <v>32</v>
      </c>
      <c r="B37" s="3" t="s">
        <v>125</v>
      </c>
      <c r="C37" t="s">
        <v>39</v>
      </c>
      <c r="D37" t="s">
        <v>40</v>
      </c>
      <c r="E37" t="s">
        <v>41</v>
      </c>
      <c r="F37" t="s">
        <v>50</v>
      </c>
      <c r="G37" s="3" t="s">
        <v>125</v>
      </c>
      <c r="H37" t="s">
        <v>83</v>
      </c>
    </row>
    <row r="38" spans="1:8" ht="14.5" customHeight="1" x14ac:dyDescent="0.35">
      <c r="A38" t="s">
        <v>33</v>
      </c>
      <c r="B38" s="3" t="s">
        <v>126</v>
      </c>
      <c r="C38" t="s">
        <v>39</v>
      </c>
      <c r="D38" t="s">
        <v>40</v>
      </c>
      <c r="E38" t="s">
        <v>41</v>
      </c>
      <c r="F38" t="s">
        <v>50</v>
      </c>
      <c r="G38" s="3" t="s">
        <v>126</v>
      </c>
      <c r="H38" t="s">
        <v>84</v>
      </c>
    </row>
    <row r="39" spans="1:8" ht="14.5" customHeight="1" x14ac:dyDescent="0.35">
      <c r="A39" t="s">
        <v>34</v>
      </c>
      <c r="B39" s="3" t="s">
        <v>127</v>
      </c>
      <c r="C39" t="s">
        <v>39</v>
      </c>
      <c r="D39" t="s">
        <v>40</v>
      </c>
      <c r="E39" t="s">
        <v>41</v>
      </c>
      <c r="F39" t="s">
        <v>50</v>
      </c>
      <c r="G39" s="3" t="s">
        <v>127</v>
      </c>
      <c r="H39" t="s">
        <v>85</v>
      </c>
    </row>
    <row r="40" spans="1:8" ht="14.5" customHeight="1" x14ac:dyDescent="0.35">
      <c r="A40" t="s">
        <v>35</v>
      </c>
      <c r="B40" s="3" t="s">
        <v>128</v>
      </c>
      <c r="C40" t="s">
        <v>39</v>
      </c>
      <c r="D40" t="s">
        <v>40</v>
      </c>
      <c r="E40" t="s">
        <v>41</v>
      </c>
      <c r="F40" t="s">
        <v>50</v>
      </c>
      <c r="G40" s="3" t="s">
        <v>128</v>
      </c>
      <c r="H40" t="s">
        <v>86</v>
      </c>
    </row>
    <row r="41" spans="1:8" ht="14.5" customHeight="1" x14ac:dyDescent="0.35">
      <c r="A41" t="s">
        <v>36</v>
      </c>
      <c r="B41" s="3" t="s">
        <v>129</v>
      </c>
      <c r="C41" t="s">
        <v>39</v>
      </c>
      <c r="D41" t="s">
        <v>40</v>
      </c>
      <c r="E41" t="s">
        <v>41</v>
      </c>
      <c r="F41" t="s">
        <v>50</v>
      </c>
      <c r="G41" s="3" t="s">
        <v>129</v>
      </c>
      <c r="H41" t="s">
        <v>87</v>
      </c>
    </row>
    <row r="42" spans="1:8" ht="14.5" customHeight="1" x14ac:dyDescent="0.35">
      <c r="A42" t="s">
        <v>37</v>
      </c>
      <c r="B42" s="3" t="s">
        <v>130</v>
      </c>
      <c r="C42" t="s">
        <v>39</v>
      </c>
      <c r="D42" t="s">
        <v>40</v>
      </c>
      <c r="E42" t="s">
        <v>41</v>
      </c>
      <c r="F42" t="s">
        <v>50</v>
      </c>
      <c r="G42" s="3" t="s">
        <v>130</v>
      </c>
      <c r="H42" t="s">
        <v>88</v>
      </c>
    </row>
    <row r="43" spans="1:8" ht="14.5" customHeight="1" x14ac:dyDescent="0.35">
      <c r="A43" t="s">
        <v>38</v>
      </c>
      <c r="B43" s="3" t="s">
        <v>131</v>
      </c>
      <c r="C43" t="s">
        <v>39</v>
      </c>
      <c r="D43" t="s">
        <v>40</v>
      </c>
      <c r="E43" t="s">
        <v>41</v>
      </c>
      <c r="F43" t="s">
        <v>50</v>
      </c>
      <c r="G43" s="3" t="s">
        <v>131</v>
      </c>
      <c r="H43" t="s">
        <v>89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4EE2E-8821-41F2-9836-7C897D0BD452}">
  <sheetPr codeName="Sheet2"/>
  <dimension ref="A1:P43"/>
  <sheetViews>
    <sheetView tabSelected="1" topLeftCell="G1" workbookViewId="0">
      <selection activeCell="P3" sqref="P3"/>
    </sheetView>
  </sheetViews>
  <sheetFormatPr defaultRowHeight="14.5" x14ac:dyDescent="0.35"/>
  <cols>
    <col min="1" max="1" width="8.81640625" style="2" bestFit="1" customWidth="1"/>
    <col min="2" max="2" width="8.81640625" style="2" customWidth="1"/>
    <col min="3" max="3" width="56.453125" style="2" bestFit="1" customWidth="1"/>
    <col min="4" max="4" width="11.1796875" style="2" customWidth="1"/>
    <col min="5" max="5" width="11.08984375" style="2" customWidth="1"/>
    <col min="6" max="6" width="109.26953125" style="2" bestFit="1" customWidth="1"/>
    <col min="7" max="7" width="46.36328125" style="2" customWidth="1"/>
    <col min="8" max="8" width="8.7265625" style="2"/>
    <col min="9" max="9" width="13.7265625" style="2" bestFit="1" customWidth="1"/>
    <col min="10" max="10" width="14.36328125" style="2" bestFit="1" customWidth="1"/>
    <col min="11" max="15" width="8.7265625" style="2"/>
    <col min="16" max="16" width="20.54296875" style="2" bestFit="1" customWidth="1"/>
    <col min="17" max="16384" width="8.7265625" style="2"/>
  </cols>
  <sheetData>
    <row r="1" spans="1:16" x14ac:dyDescent="0.35">
      <c r="A1" s="2" t="s">
        <v>384</v>
      </c>
      <c r="B1" s="2" t="s">
        <v>389</v>
      </c>
      <c r="C1" s="2" t="s">
        <v>42</v>
      </c>
      <c r="D1" s="2" t="s">
        <v>429</v>
      </c>
      <c r="E1" s="2" t="s">
        <v>430</v>
      </c>
      <c r="G1" s="2" t="s">
        <v>385</v>
      </c>
      <c r="H1" s="2" t="s">
        <v>386</v>
      </c>
      <c r="I1" s="2" t="s">
        <v>387</v>
      </c>
      <c r="J1" s="2" t="s">
        <v>388</v>
      </c>
    </row>
    <row r="2" spans="1:16" x14ac:dyDescent="0.35">
      <c r="A2" s="2" t="s">
        <v>44</v>
      </c>
      <c r="B2" s="2">
        <v>2018</v>
      </c>
      <c r="C2" s="2" t="s">
        <v>45</v>
      </c>
      <c r="D2" s="2" t="s">
        <v>420</v>
      </c>
      <c r="E2" s="2" t="s">
        <v>411</v>
      </c>
      <c r="F2" s="2" t="s">
        <v>46</v>
      </c>
      <c r="G2" s="2" t="s">
        <v>47</v>
      </c>
      <c r="H2" s="2" t="s">
        <v>132</v>
      </c>
      <c r="I2" s="2" t="s">
        <v>48</v>
      </c>
      <c r="J2" s="2" t="s">
        <v>49</v>
      </c>
      <c r="K2" s="2" t="str">
        <f>MID(J2,SEARCH("(",J2,1),LEN(J2) - SEARCH("(",J2,1) +1)</f>
        <v>(640)</v>
      </c>
      <c r="L2" s="2">
        <v>1</v>
      </c>
      <c r="M2" s="2">
        <v>1</v>
      </c>
      <c r="O2" s="2">
        <f>test1(L2,M2)</f>
        <v>2</v>
      </c>
      <c r="P2" s="2" t="str">
        <f>test2(J2,I2)</f>
        <v xml:space="preserve">INVITED   (617) NV TED </v>
      </c>
    </row>
    <row r="3" spans="1:16" x14ac:dyDescent="0.35">
      <c r="A3" s="2" t="s">
        <v>133</v>
      </c>
      <c r="B3" s="2">
        <v>2018</v>
      </c>
      <c r="C3" s="2" t="s">
        <v>134</v>
      </c>
      <c r="D3" s="2" t="s">
        <v>404</v>
      </c>
      <c r="E3" s="2" t="s">
        <v>397</v>
      </c>
      <c r="F3" s="2" t="s">
        <v>135</v>
      </c>
      <c r="G3" s="2" t="s">
        <v>136</v>
      </c>
      <c r="H3" s="2" t="s">
        <v>137</v>
      </c>
      <c r="I3" s="2" t="s">
        <v>377</v>
      </c>
      <c r="J3" s="2" t="s">
        <v>138</v>
      </c>
      <c r="K3" s="2" t="str">
        <f t="shared" ref="K3:K43" si="0">MID(J3,SEARCH("(",J3,1),LEN(J3) - SEARCH("(",J3,1) +1)</f>
        <v>(1349)</v>
      </c>
      <c r="L3" s="2">
        <v>2</v>
      </c>
      <c r="M3" s="2">
        <f>$L$2</f>
        <v>1</v>
      </c>
    </row>
    <row r="4" spans="1:16" x14ac:dyDescent="0.35">
      <c r="A4" s="2" t="s">
        <v>139</v>
      </c>
      <c r="B4" s="2">
        <v>2018</v>
      </c>
      <c r="C4" s="2" t="s">
        <v>140</v>
      </c>
      <c r="D4" s="2" t="s">
        <v>404</v>
      </c>
      <c r="E4" s="2" t="s">
        <v>397</v>
      </c>
      <c r="F4" s="2" t="s">
        <v>141</v>
      </c>
      <c r="G4" s="2" t="s">
        <v>136</v>
      </c>
      <c r="H4" s="2" t="s">
        <v>378</v>
      </c>
      <c r="I4" s="2" t="s">
        <v>142</v>
      </c>
      <c r="J4" s="2" t="s">
        <v>143</v>
      </c>
      <c r="K4" s="2" t="str">
        <f t="shared" si="0"/>
        <v>(1820)</v>
      </c>
    </row>
    <row r="5" spans="1:16" x14ac:dyDescent="0.35">
      <c r="A5" s="2" t="s">
        <v>144</v>
      </c>
      <c r="B5" s="2">
        <v>2018</v>
      </c>
      <c r="C5" s="2" t="s">
        <v>145</v>
      </c>
      <c r="D5" s="2" t="s">
        <v>392</v>
      </c>
      <c r="E5" s="2" t="s">
        <v>393</v>
      </c>
      <c r="F5" s="2" t="s">
        <v>146</v>
      </c>
      <c r="G5" s="2" t="s">
        <v>147</v>
      </c>
      <c r="H5" s="2" t="s">
        <v>148</v>
      </c>
      <c r="I5" s="2" t="s">
        <v>149</v>
      </c>
      <c r="J5" s="2" t="s">
        <v>150</v>
      </c>
      <c r="K5" s="2" t="str">
        <f t="shared" si="0"/>
        <v>(210)</v>
      </c>
    </row>
    <row r="6" spans="1:16" x14ac:dyDescent="0.35">
      <c r="A6" s="2" t="s">
        <v>144</v>
      </c>
      <c r="B6" s="2">
        <v>2018</v>
      </c>
      <c r="C6" s="2" t="s">
        <v>151</v>
      </c>
      <c r="D6" s="2" t="s">
        <v>414</v>
      </c>
      <c r="E6" s="2" t="s">
        <v>415</v>
      </c>
      <c r="F6" s="2" t="s">
        <v>152</v>
      </c>
      <c r="G6" s="2" t="s">
        <v>153</v>
      </c>
      <c r="H6" s="2" t="s">
        <v>154</v>
      </c>
      <c r="I6" s="2" t="s">
        <v>155</v>
      </c>
      <c r="J6" s="2" t="s">
        <v>156</v>
      </c>
      <c r="K6" s="2" t="str">
        <f t="shared" si="0"/>
        <v>(101)</v>
      </c>
    </row>
    <row r="7" spans="1:16" x14ac:dyDescent="0.35">
      <c r="A7" s="2" t="s">
        <v>144</v>
      </c>
      <c r="B7" s="2">
        <v>2018</v>
      </c>
      <c r="C7" s="2" t="s">
        <v>157</v>
      </c>
      <c r="D7" s="2" t="s">
        <v>398</v>
      </c>
      <c r="E7" s="2" t="s">
        <v>399</v>
      </c>
      <c r="F7" s="2" t="s">
        <v>158</v>
      </c>
      <c r="G7" s="2" t="s">
        <v>159</v>
      </c>
      <c r="H7" s="2" t="s">
        <v>160</v>
      </c>
      <c r="I7" s="2" t="s">
        <v>161</v>
      </c>
      <c r="J7" s="2" t="s">
        <v>162</v>
      </c>
      <c r="K7" s="2" t="str">
        <f t="shared" si="0"/>
        <v>(403)</v>
      </c>
    </row>
    <row r="8" spans="1:16" x14ac:dyDescent="0.35">
      <c r="A8" s="2" t="s">
        <v>144</v>
      </c>
      <c r="B8" s="2">
        <v>2018</v>
      </c>
      <c r="C8" s="2" t="s">
        <v>163</v>
      </c>
      <c r="D8" s="2" t="s">
        <v>410</v>
      </c>
      <c r="E8" s="2" t="s">
        <v>411</v>
      </c>
      <c r="F8" s="2" t="s">
        <v>164</v>
      </c>
      <c r="G8" s="2" t="s">
        <v>165</v>
      </c>
      <c r="H8" s="2" t="s">
        <v>166</v>
      </c>
      <c r="I8" s="2" t="s">
        <v>167</v>
      </c>
      <c r="J8" s="2" t="s">
        <v>168</v>
      </c>
      <c r="K8" s="2" t="str">
        <f t="shared" si="0"/>
        <v>(432)</v>
      </c>
    </row>
    <row r="9" spans="1:16" x14ac:dyDescent="0.35">
      <c r="A9" s="2" t="s">
        <v>144</v>
      </c>
      <c r="B9" s="2">
        <v>2018</v>
      </c>
      <c r="C9" s="2" t="s">
        <v>169</v>
      </c>
      <c r="D9" s="2" t="s">
        <v>412</v>
      </c>
      <c r="E9" s="2" t="s">
        <v>413</v>
      </c>
      <c r="F9" s="2" t="s">
        <v>170</v>
      </c>
      <c r="G9" s="2" t="s">
        <v>171</v>
      </c>
      <c r="H9" s="2" t="s">
        <v>379</v>
      </c>
      <c r="I9" s="2" t="s">
        <v>380</v>
      </c>
      <c r="J9" s="2" t="s">
        <v>172</v>
      </c>
      <c r="K9" s="2" t="str">
        <f t="shared" si="0"/>
        <v>(3241)</v>
      </c>
    </row>
    <row r="10" spans="1:16" x14ac:dyDescent="0.35">
      <c r="A10" s="2" t="s">
        <v>144</v>
      </c>
      <c r="B10" s="2">
        <v>2018</v>
      </c>
      <c r="C10" s="2" t="s">
        <v>173</v>
      </c>
      <c r="D10" s="2" t="s">
        <v>425</v>
      </c>
      <c r="E10" s="2" t="s">
        <v>424</v>
      </c>
      <c r="F10" s="2" t="s">
        <v>174</v>
      </c>
      <c r="G10" s="2" t="s">
        <v>175</v>
      </c>
      <c r="H10" s="2" t="s">
        <v>176</v>
      </c>
      <c r="I10" s="2" t="s">
        <v>177</v>
      </c>
      <c r="J10" s="2" t="s">
        <v>178</v>
      </c>
      <c r="K10" s="2" t="str">
        <f t="shared" si="0"/>
        <v>(5181)</v>
      </c>
    </row>
    <row r="11" spans="1:16" x14ac:dyDescent="0.35">
      <c r="A11" s="2" t="s">
        <v>144</v>
      </c>
      <c r="B11" s="2">
        <v>2018</v>
      </c>
      <c r="C11" s="2" t="s">
        <v>179</v>
      </c>
      <c r="D11" s="2" t="s">
        <v>402</v>
      </c>
      <c r="E11" s="2" t="s">
        <v>403</v>
      </c>
      <c r="F11" s="2" t="s">
        <v>180</v>
      </c>
      <c r="G11" s="2" t="s">
        <v>181</v>
      </c>
      <c r="H11" s="2" t="s">
        <v>182</v>
      </c>
      <c r="I11" s="2" t="s">
        <v>183</v>
      </c>
      <c r="J11" s="2" t="s">
        <v>184</v>
      </c>
      <c r="K11" s="2" t="str">
        <f t="shared" si="0"/>
        <v>(510)</v>
      </c>
    </row>
    <row r="12" spans="1:16" x14ac:dyDescent="0.35">
      <c r="A12" s="2" t="s">
        <v>185</v>
      </c>
      <c r="B12" s="2">
        <v>2018</v>
      </c>
      <c r="C12" s="2" t="s">
        <v>186</v>
      </c>
      <c r="D12" s="2" t="s">
        <v>420</v>
      </c>
      <c r="E12" s="2" t="s">
        <v>411</v>
      </c>
      <c r="F12" s="2" t="s">
        <v>187</v>
      </c>
      <c r="G12" s="2" t="s">
        <v>47</v>
      </c>
      <c r="H12" s="2" t="s">
        <v>188</v>
      </c>
      <c r="I12" s="2" t="s">
        <v>189</v>
      </c>
      <c r="J12" s="2" t="s">
        <v>190</v>
      </c>
      <c r="K12" s="2" t="str">
        <f t="shared" si="0"/>
        <v>(36)</v>
      </c>
    </row>
    <row r="13" spans="1:16" x14ac:dyDescent="0.35">
      <c r="A13" s="2" t="s">
        <v>191</v>
      </c>
      <c r="B13" s="2">
        <v>2019</v>
      </c>
      <c r="C13" s="2" t="s">
        <v>192</v>
      </c>
      <c r="D13" s="2" t="s">
        <v>418</v>
      </c>
      <c r="E13" s="2" t="s">
        <v>419</v>
      </c>
      <c r="F13" s="2" t="s">
        <v>193</v>
      </c>
      <c r="G13" s="2" t="s">
        <v>194</v>
      </c>
      <c r="H13" s="2" t="s">
        <v>381</v>
      </c>
      <c r="I13" s="2" t="s">
        <v>382</v>
      </c>
      <c r="J13" s="2" t="s">
        <v>383</v>
      </c>
      <c r="K13" s="2" t="str">
        <f t="shared" si="0"/>
        <v>(5110)</v>
      </c>
    </row>
    <row r="14" spans="1:16" x14ac:dyDescent="0.35">
      <c r="A14" s="2" t="s">
        <v>195</v>
      </c>
      <c r="B14" s="2">
        <v>2018</v>
      </c>
      <c r="C14" s="2" t="s">
        <v>196</v>
      </c>
      <c r="D14" s="2" t="s">
        <v>423</v>
      </c>
      <c r="E14" s="2" t="s">
        <v>397</v>
      </c>
      <c r="F14" s="2" t="s">
        <v>197</v>
      </c>
      <c r="G14" s="2" t="s">
        <v>198</v>
      </c>
      <c r="H14" s="2" t="s">
        <v>199</v>
      </c>
      <c r="I14" s="2" t="s">
        <v>200</v>
      </c>
      <c r="J14" s="2" t="s">
        <v>201</v>
      </c>
      <c r="K14" s="2" t="str">
        <f t="shared" si="0"/>
        <v>(237)</v>
      </c>
    </row>
    <row r="15" spans="1:16" x14ac:dyDescent="0.35">
      <c r="A15" s="2" t="s">
        <v>202</v>
      </c>
      <c r="B15" s="2">
        <v>2018</v>
      </c>
      <c r="C15" s="2" t="s">
        <v>203</v>
      </c>
      <c r="D15" s="2" t="s">
        <v>423</v>
      </c>
      <c r="E15" s="2" t="s">
        <v>397</v>
      </c>
      <c r="F15" s="2" t="s">
        <v>204</v>
      </c>
      <c r="G15" s="2" t="s">
        <v>205</v>
      </c>
      <c r="H15" s="2" t="s">
        <v>206</v>
      </c>
      <c r="I15" s="2" t="s">
        <v>207</v>
      </c>
      <c r="J15" s="2" t="s">
        <v>208</v>
      </c>
      <c r="K15" s="2" t="str">
        <f t="shared" si="0"/>
        <v>(57)</v>
      </c>
    </row>
    <row r="16" spans="1:16" x14ac:dyDescent="0.35">
      <c r="A16" s="2" t="s">
        <v>209</v>
      </c>
      <c r="B16" s="2">
        <v>2018</v>
      </c>
      <c r="C16" s="2" t="s">
        <v>210</v>
      </c>
      <c r="D16" s="2" t="s">
        <v>396</v>
      </c>
      <c r="E16" s="2" t="s">
        <v>397</v>
      </c>
      <c r="F16" s="2" t="s">
        <v>211</v>
      </c>
      <c r="G16" s="2" t="s">
        <v>212</v>
      </c>
      <c r="H16" s="2" t="s">
        <v>213</v>
      </c>
      <c r="I16" s="2" t="s">
        <v>214</v>
      </c>
      <c r="J16" s="2" t="s">
        <v>215</v>
      </c>
      <c r="K16" s="2" t="str">
        <f t="shared" si="0"/>
        <v>(344)</v>
      </c>
    </row>
    <row r="17" spans="1:11" x14ac:dyDescent="0.35">
      <c r="A17" s="2" t="s">
        <v>216</v>
      </c>
      <c r="B17" s="2">
        <v>2017</v>
      </c>
      <c r="C17" s="2" t="s">
        <v>217</v>
      </c>
      <c r="D17" s="2" t="s">
        <v>423</v>
      </c>
      <c r="E17" s="2" t="s">
        <v>397</v>
      </c>
      <c r="F17" s="2" t="s">
        <v>218</v>
      </c>
      <c r="G17" s="2" t="s">
        <v>219</v>
      </c>
      <c r="H17" s="2" t="s">
        <v>220</v>
      </c>
      <c r="I17" s="2" t="s">
        <v>221</v>
      </c>
      <c r="J17" s="2" t="s">
        <v>222</v>
      </c>
      <c r="K17" s="2" t="str">
        <f t="shared" si="0"/>
        <v>(2532)</v>
      </c>
    </row>
    <row r="18" spans="1:11" x14ac:dyDescent="0.35">
      <c r="A18" s="2" t="s">
        <v>144</v>
      </c>
      <c r="B18" s="2">
        <v>2017</v>
      </c>
      <c r="C18" s="2" t="s">
        <v>223</v>
      </c>
      <c r="D18" s="2" t="s">
        <v>404</v>
      </c>
      <c r="E18" s="2" t="s">
        <v>397</v>
      </c>
      <c r="F18" s="2" t="s">
        <v>224</v>
      </c>
      <c r="G18" s="2" t="s">
        <v>136</v>
      </c>
      <c r="H18" s="2" t="s">
        <v>225</v>
      </c>
      <c r="I18" s="2" t="s">
        <v>226</v>
      </c>
      <c r="J18" s="2" t="s">
        <v>227</v>
      </c>
      <c r="K18" s="2" t="str">
        <f t="shared" si="0"/>
        <v>(4358)</v>
      </c>
    </row>
    <row r="19" spans="1:11" x14ac:dyDescent="0.35">
      <c r="A19" s="2" t="s">
        <v>228</v>
      </c>
      <c r="B19" s="2">
        <v>2017</v>
      </c>
      <c r="C19" s="2" t="s">
        <v>229</v>
      </c>
      <c r="D19" s="2" t="s">
        <v>404</v>
      </c>
      <c r="E19" s="2" t="s">
        <v>397</v>
      </c>
      <c r="F19" s="2" t="s">
        <v>230</v>
      </c>
      <c r="G19" s="2" t="s">
        <v>136</v>
      </c>
      <c r="H19" s="2" t="s">
        <v>231</v>
      </c>
      <c r="I19" s="2" t="s">
        <v>232</v>
      </c>
      <c r="J19" s="2" t="s">
        <v>233</v>
      </c>
      <c r="K19" s="2" t="str">
        <f t="shared" si="0"/>
        <v>(7450)</v>
      </c>
    </row>
    <row r="20" spans="1:11" x14ac:dyDescent="0.35">
      <c r="A20" s="2" t="s">
        <v>234</v>
      </c>
      <c r="B20" s="2">
        <v>2017</v>
      </c>
      <c r="C20" s="2" t="s">
        <v>45</v>
      </c>
      <c r="D20" s="2" t="s">
        <v>420</v>
      </c>
      <c r="E20" s="2" t="s">
        <v>411</v>
      </c>
      <c r="F20" s="2" t="s">
        <v>235</v>
      </c>
      <c r="G20" s="2" t="s">
        <v>47</v>
      </c>
      <c r="H20" s="2" t="s">
        <v>236</v>
      </c>
      <c r="I20" s="2" t="s">
        <v>237</v>
      </c>
      <c r="J20" s="2" t="s">
        <v>238</v>
      </c>
      <c r="K20" s="2" t="str">
        <f t="shared" si="0"/>
        <v>(49)</v>
      </c>
    </row>
    <row r="21" spans="1:11" x14ac:dyDescent="0.35">
      <c r="A21" s="2" t="s">
        <v>239</v>
      </c>
      <c r="B21" s="2">
        <v>2016</v>
      </c>
      <c r="C21" s="2" t="s">
        <v>217</v>
      </c>
      <c r="D21" s="2" t="s">
        <v>423</v>
      </c>
      <c r="E21" s="2" t="s">
        <v>397</v>
      </c>
      <c r="F21" s="2" t="s">
        <v>240</v>
      </c>
      <c r="G21" s="2" t="s">
        <v>219</v>
      </c>
      <c r="H21" s="2" t="s">
        <v>241</v>
      </c>
      <c r="I21" s="2" t="s">
        <v>242</v>
      </c>
      <c r="J21" s="2" t="s">
        <v>243</v>
      </c>
      <c r="K21" s="2" t="str">
        <f t="shared" si="0"/>
        <v>(6369)</v>
      </c>
    </row>
    <row r="22" spans="1:11" x14ac:dyDescent="0.35">
      <c r="A22" s="2" t="s">
        <v>244</v>
      </c>
      <c r="B22" s="2">
        <v>2016</v>
      </c>
      <c r="C22" s="2" t="s">
        <v>245</v>
      </c>
      <c r="D22" s="2" t="s">
        <v>396</v>
      </c>
      <c r="E22" s="2" t="s">
        <v>397</v>
      </c>
      <c r="F22" s="2" t="s">
        <v>246</v>
      </c>
      <c r="G22" s="2" t="s">
        <v>212</v>
      </c>
      <c r="H22" s="2" t="s">
        <v>247</v>
      </c>
      <c r="I22" s="2" t="s">
        <v>248</v>
      </c>
      <c r="J22" s="2" t="s">
        <v>249</v>
      </c>
      <c r="K22" s="2" t="str">
        <f t="shared" si="0"/>
        <v>(533)</v>
      </c>
    </row>
    <row r="23" spans="1:11" x14ac:dyDescent="0.35">
      <c r="A23" s="2" t="s">
        <v>250</v>
      </c>
      <c r="B23" s="2">
        <v>2016</v>
      </c>
      <c r="C23" s="2" t="s">
        <v>251</v>
      </c>
      <c r="D23" s="2" t="s">
        <v>407</v>
      </c>
      <c r="E23" s="2" t="s">
        <v>408</v>
      </c>
      <c r="F23" s="2" t="s">
        <v>252</v>
      </c>
      <c r="G23" s="2" t="s">
        <v>253</v>
      </c>
      <c r="H23" s="2" t="s">
        <v>254</v>
      </c>
      <c r="I23" s="2" t="s">
        <v>255</v>
      </c>
      <c r="J23" s="2" t="s">
        <v>256</v>
      </c>
      <c r="K23" s="2" t="str">
        <f t="shared" si="0"/>
        <v>(1046)</v>
      </c>
    </row>
    <row r="24" spans="1:11" x14ac:dyDescent="0.35">
      <c r="A24" s="2" t="s">
        <v>250</v>
      </c>
      <c r="B24" s="2">
        <v>2016</v>
      </c>
      <c r="C24" s="2" t="s">
        <v>257</v>
      </c>
      <c r="D24" s="2" t="s">
        <v>409</v>
      </c>
      <c r="E24" s="2" t="s">
        <v>403</v>
      </c>
      <c r="F24" s="2" t="s">
        <v>258</v>
      </c>
      <c r="G24" s="2" t="s">
        <v>259</v>
      </c>
      <c r="H24" s="2" t="s">
        <v>260</v>
      </c>
      <c r="I24" s="2" t="s">
        <v>261</v>
      </c>
      <c r="J24" s="2" t="s">
        <v>262</v>
      </c>
      <c r="K24" s="2" t="str">
        <f t="shared" si="0"/>
        <v>(3527)</v>
      </c>
    </row>
    <row r="25" spans="1:11" x14ac:dyDescent="0.35">
      <c r="A25" s="2" t="s">
        <v>250</v>
      </c>
      <c r="B25" s="2">
        <v>2016</v>
      </c>
      <c r="C25" s="2" t="s">
        <v>263</v>
      </c>
      <c r="D25" s="2" t="s">
        <v>400</v>
      </c>
      <c r="E25" s="2" t="s">
        <v>401</v>
      </c>
      <c r="F25" s="2" t="s">
        <v>258</v>
      </c>
      <c r="G25" s="2" t="s">
        <v>264</v>
      </c>
      <c r="H25" s="2" t="s">
        <v>265</v>
      </c>
      <c r="I25" s="2" t="s">
        <v>266</v>
      </c>
      <c r="J25" s="2" t="s">
        <v>267</v>
      </c>
      <c r="K25" s="2" t="str">
        <f t="shared" si="0"/>
        <v>(8647)</v>
      </c>
    </row>
    <row r="26" spans="1:11" x14ac:dyDescent="0.35">
      <c r="A26" s="2" t="s">
        <v>250</v>
      </c>
      <c r="B26" s="2">
        <v>2016</v>
      </c>
      <c r="C26" s="2" t="s">
        <v>268</v>
      </c>
      <c r="D26" s="2" t="s">
        <v>406</v>
      </c>
      <c r="E26" s="2" t="s">
        <v>405</v>
      </c>
      <c r="F26" s="2" t="s">
        <v>269</v>
      </c>
      <c r="G26" s="2" t="s">
        <v>270</v>
      </c>
      <c r="H26" s="2" t="s">
        <v>271</v>
      </c>
      <c r="I26" s="2" t="s">
        <v>272</v>
      </c>
      <c r="J26" s="2" t="s">
        <v>273</v>
      </c>
      <c r="K26" s="2" t="str">
        <f t="shared" si="0"/>
        <v>(7845)</v>
      </c>
    </row>
    <row r="27" spans="1:11" x14ac:dyDescent="0.35">
      <c r="A27" s="2" t="s">
        <v>250</v>
      </c>
      <c r="B27" s="2">
        <v>2016</v>
      </c>
      <c r="C27" s="2" t="s">
        <v>274</v>
      </c>
      <c r="D27" s="2" t="s">
        <v>394</v>
      </c>
      <c r="E27" s="2" t="s">
        <v>395</v>
      </c>
      <c r="F27" s="2" t="s">
        <v>275</v>
      </c>
      <c r="G27" s="2" t="s">
        <v>276</v>
      </c>
      <c r="H27" s="2" t="s">
        <v>277</v>
      </c>
      <c r="I27" s="2" t="s">
        <v>278</v>
      </c>
      <c r="J27" s="2" t="s">
        <v>279</v>
      </c>
      <c r="K27" s="2" t="str">
        <f t="shared" si="0"/>
        <v>(1142)</v>
      </c>
    </row>
    <row r="28" spans="1:11" x14ac:dyDescent="0.35">
      <c r="A28" s="2" t="s">
        <v>250</v>
      </c>
      <c r="B28" s="2">
        <v>2016</v>
      </c>
      <c r="C28" s="2" t="s">
        <v>280</v>
      </c>
      <c r="D28" s="2" t="s">
        <v>416</v>
      </c>
      <c r="E28" s="2" t="s">
        <v>417</v>
      </c>
      <c r="F28" s="2" t="s">
        <v>281</v>
      </c>
      <c r="G28" s="2" t="s">
        <v>282</v>
      </c>
      <c r="H28" s="2" t="s">
        <v>283</v>
      </c>
      <c r="I28" s="2" t="s">
        <v>284</v>
      </c>
      <c r="J28" s="2" t="s">
        <v>285</v>
      </c>
      <c r="K28" s="2" t="str">
        <f t="shared" si="0"/>
        <v>(9452)</v>
      </c>
    </row>
    <row r="29" spans="1:11" x14ac:dyDescent="0.35">
      <c r="A29" s="2" t="s">
        <v>250</v>
      </c>
      <c r="B29" s="2">
        <v>2016</v>
      </c>
      <c r="C29" s="2" t="s">
        <v>431</v>
      </c>
      <c r="D29" s="2" t="s">
        <v>421</v>
      </c>
      <c r="E29" s="2" t="s">
        <v>422</v>
      </c>
      <c r="F29" s="2" t="s">
        <v>287</v>
      </c>
      <c r="G29" s="2" t="s">
        <v>288</v>
      </c>
      <c r="H29" s="2" t="s">
        <v>289</v>
      </c>
      <c r="I29" s="2" t="s">
        <v>290</v>
      </c>
      <c r="J29" s="2" t="s">
        <v>291</v>
      </c>
      <c r="K29" s="2" t="str">
        <f t="shared" si="0"/>
        <v>(13506)</v>
      </c>
    </row>
    <row r="30" spans="1:11" x14ac:dyDescent="0.35">
      <c r="A30" s="2" t="s">
        <v>292</v>
      </c>
      <c r="B30" s="2">
        <v>2016</v>
      </c>
      <c r="C30" s="2" t="s">
        <v>293</v>
      </c>
      <c r="D30" s="2" t="s">
        <v>404</v>
      </c>
      <c r="E30" s="2" t="s">
        <v>397</v>
      </c>
      <c r="F30" s="2" t="s">
        <v>294</v>
      </c>
      <c r="G30" s="2" t="s">
        <v>295</v>
      </c>
      <c r="H30" s="2" t="s">
        <v>296</v>
      </c>
      <c r="I30" s="2" t="s">
        <v>297</v>
      </c>
      <c r="J30" s="2" t="s">
        <v>298</v>
      </c>
      <c r="K30" s="2" t="str">
        <f t="shared" si="0"/>
        <v>(21581)</v>
      </c>
    </row>
    <row r="31" spans="1:11" x14ac:dyDescent="0.35">
      <c r="A31" s="2" t="s">
        <v>299</v>
      </c>
      <c r="B31" s="2">
        <v>2016</v>
      </c>
      <c r="C31" s="2" t="s">
        <v>432</v>
      </c>
      <c r="D31" s="2" t="s">
        <v>396</v>
      </c>
      <c r="E31" s="2" t="s">
        <v>397</v>
      </c>
      <c r="F31" s="2" t="s">
        <v>301</v>
      </c>
      <c r="G31" s="2" t="s">
        <v>212</v>
      </c>
      <c r="H31" s="2" t="s">
        <v>302</v>
      </c>
      <c r="I31" s="2" t="s">
        <v>303</v>
      </c>
      <c r="J31" s="2" t="s">
        <v>304</v>
      </c>
      <c r="K31" s="2" t="str">
        <f t="shared" si="0"/>
        <v>(500)</v>
      </c>
    </row>
    <row r="32" spans="1:11" x14ac:dyDescent="0.35">
      <c r="A32" s="2" t="s">
        <v>305</v>
      </c>
      <c r="B32" s="2">
        <v>2016</v>
      </c>
      <c r="C32" s="2" t="s">
        <v>306</v>
      </c>
      <c r="D32" s="2" t="s">
        <v>423</v>
      </c>
      <c r="E32" s="2" t="s">
        <v>397</v>
      </c>
      <c r="F32" s="2" t="s">
        <v>307</v>
      </c>
      <c r="G32" s="2" t="s">
        <v>198</v>
      </c>
      <c r="H32" s="2" t="s">
        <v>308</v>
      </c>
      <c r="I32" s="2" t="s">
        <v>309</v>
      </c>
      <c r="J32" s="2" t="s">
        <v>310</v>
      </c>
      <c r="K32" s="2" t="str">
        <f t="shared" si="0"/>
        <v>(1256)</v>
      </c>
    </row>
    <row r="33" spans="1:11" x14ac:dyDescent="0.35">
      <c r="A33" s="2" t="s">
        <v>311</v>
      </c>
      <c r="B33" s="2">
        <v>2015</v>
      </c>
      <c r="C33" s="2" t="s">
        <v>312</v>
      </c>
      <c r="D33" s="2" t="s">
        <v>423</v>
      </c>
      <c r="E33" s="2" t="s">
        <v>397</v>
      </c>
      <c r="F33" s="2" t="s">
        <v>313</v>
      </c>
      <c r="H33" s="2" t="s">
        <v>314</v>
      </c>
      <c r="I33" s="2" t="s">
        <v>315</v>
      </c>
      <c r="J33" s="2" t="s">
        <v>316</v>
      </c>
      <c r="K33" s="2" t="str">
        <f t="shared" si="0"/>
        <v>(1627)</v>
      </c>
    </row>
    <row r="34" spans="1:11" x14ac:dyDescent="0.35">
      <c r="A34" s="2" t="s">
        <v>317</v>
      </c>
      <c r="B34" s="2">
        <v>2015</v>
      </c>
      <c r="C34" s="2" t="s">
        <v>318</v>
      </c>
      <c r="D34" s="2" t="s">
        <v>423</v>
      </c>
      <c r="E34" s="2" t="s">
        <v>397</v>
      </c>
      <c r="F34" s="2" t="s">
        <v>319</v>
      </c>
      <c r="G34" s="2" t="s">
        <v>219</v>
      </c>
      <c r="H34" s="2" t="s">
        <v>320</v>
      </c>
      <c r="I34" s="2" t="s">
        <v>321</v>
      </c>
      <c r="J34" s="2" t="s">
        <v>322</v>
      </c>
      <c r="K34" s="2" t="str">
        <f t="shared" si="0"/>
        <v>(3383)</v>
      </c>
    </row>
    <row r="35" spans="1:11" x14ac:dyDescent="0.35">
      <c r="A35" s="2" t="s">
        <v>323</v>
      </c>
      <c r="B35" s="2">
        <v>2015</v>
      </c>
      <c r="C35" s="2" t="s">
        <v>324</v>
      </c>
      <c r="D35" s="2" t="s">
        <v>426</v>
      </c>
      <c r="E35" s="2" t="s">
        <v>405</v>
      </c>
      <c r="F35" s="2" t="s">
        <v>325</v>
      </c>
      <c r="G35" s="2" t="s">
        <v>326</v>
      </c>
      <c r="H35" s="2" t="s">
        <v>327</v>
      </c>
      <c r="I35" s="2" t="s">
        <v>328</v>
      </c>
      <c r="J35" s="2" t="s">
        <v>329</v>
      </c>
      <c r="K35" s="2" t="str">
        <f t="shared" si="0"/>
        <v>(5245)</v>
      </c>
    </row>
    <row r="36" spans="1:11" x14ac:dyDescent="0.35">
      <c r="A36" s="2" t="s">
        <v>323</v>
      </c>
      <c r="B36" s="2">
        <v>2015</v>
      </c>
      <c r="C36" s="2" t="s">
        <v>324</v>
      </c>
      <c r="D36" s="2" t="s">
        <v>426</v>
      </c>
      <c r="E36" s="2" t="s">
        <v>405</v>
      </c>
      <c r="F36" s="2" t="s">
        <v>330</v>
      </c>
      <c r="G36" s="2" t="s">
        <v>331</v>
      </c>
      <c r="H36" s="2" t="s">
        <v>332</v>
      </c>
      <c r="I36" s="2" t="s">
        <v>333</v>
      </c>
      <c r="J36" s="2" t="s">
        <v>334</v>
      </c>
      <c r="K36" s="2" t="str">
        <f t="shared" si="0"/>
        <v>(5905)</v>
      </c>
    </row>
    <row r="37" spans="1:11" x14ac:dyDescent="0.35">
      <c r="A37" s="2" t="s">
        <v>335</v>
      </c>
      <c r="B37" s="2">
        <v>2015</v>
      </c>
      <c r="C37" s="2" t="s">
        <v>336</v>
      </c>
      <c r="D37" s="2" t="s">
        <v>404</v>
      </c>
      <c r="E37" s="2" t="s">
        <v>397</v>
      </c>
      <c r="F37" s="2" t="s">
        <v>337</v>
      </c>
      <c r="G37" s="2" t="s">
        <v>136</v>
      </c>
      <c r="H37" s="2" t="s">
        <v>338</v>
      </c>
      <c r="I37" s="2" t="s">
        <v>339</v>
      </c>
      <c r="J37" s="2" t="s">
        <v>340</v>
      </c>
      <c r="K37" s="2" t="str">
        <f t="shared" si="0"/>
        <v>(15556)</v>
      </c>
    </row>
    <row r="38" spans="1:11" x14ac:dyDescent="0.35">
      <c r="A38" s="2" t="s">
        <v>323</v>
      </c>
      <c r="B38" s="2">
        <v>2014</v>
      </c>
      <c r="C38" s="2" t="s">
        <v>341</v>
      </c>
      <c r="D38" s="2" t="s">
        <v>404</v>
      </c>
      <c r="E38" s="2" t="s">
        <v>397</v>
      </c>
      <c r="F38" s="2" t="s">
        <v>342</v>
      </c>
      <c r="G38" s="2" t="s">
        <v>136</v>
      </c>
      <c r="H38" s="2" t="s">
        <v>343</v>
      </c>
      <c r="I38" s="2" t="s">
        <v>344</v>
      </c>
      <c r="J38" s="2" t="s">
        <v>345</v>
      </c>
      <c r="K38" s="2" t="str">
        <f t="shared" si="0"/>
        <v>(13985)</v>
      </c>
    </row>
    <row r="39" spans="1:11" x14ac:dyDescent="0.35">
      <c r="A39" s="2" t="s">
        <v>346</v>
      </c>
      <c r="B39" s="2">
        <v>2014</v>
      </c>
      <c r="C39" s="2" t="s">
        <v>347</v>
      </c>
      <c r="D39" s="2" t="s">
        <v>404</v>
      </c>
      <c r="E39" s="2" t="s">
        <v>397</v>
      </c>
      <c r="F39" s="2" t="s">
        <v>348</v>
      </c>
      <c r="G39" s="2" t="s">
        <v>136</v>
      </c>
      <c r="H39" s="2" t="s">
        <v>349</v>
      </c>
      <c r="I39" s="2" t="s">
        <v>350</v>
      </c>
      <c r="J39" s="2" t="s">
        <v>351</v>
      </c>
      <c r="K39" s="2" t="str">
        <f t="shared" si="0"/>
        <v>(19589)</v>
      </c>
    </row>
    <row r="40" spans="1:11" x14ac:dyDescent="0.35">
      <c r="A40" s="2" t="s">
        <v>352</v>
      </c>
      <c r="B40" s="2">
        <v>2013</v>
      </c>
      <c r="C40" s="2" t="s">
        <v>353</v>
      </c>
      <c r="D40" s="2" t="s">
        <v>427</v>
      </c>
      <c r="E40" s="2" t="s">
        <v>428</v>
      </c>
      <c r="F40" s="2" t="s">
        <v>354</v>
      </c>
      <c r="G40" s="2" t="s">
        <v>355</v>
      </c>
      <c r="H40" s="2" t="s">
        <v>356</v>
      </c>
      <c r="I40" s="2" t="s">
        <v>357</v>
      </c>
      <c r="J40" s="2" t="s">
        <v>358</v>
      </c>
      <c r="K40" s="2" t="str">
        <f t="shared" si="0"/>
        <v>(68483)</v>
      </c>
    </row>
    <row r="41" spans="1:11" x14ac:dyDescent="0.35">
      <c r="A41" s="2" t="s">
        <v>359</v>
      </c>
      <c r="B41" s="2">
        <v>2013</v>
      </c>
      <c r="C41" s="2" t="s">
        <v>360</v>
      </c>
      <c r="D41" s="2" t="s">
        <v>404</v>
      </c>
      <c r="E41" s="2" t="s">
        <v>397</v>
      </c>
      <c r="F41" s="2" t="s">
        <v>361</v>
      </c>
      <c r="G41" s="2" t="s">
        <v>136</v>
      </c>
      <c r="H41" s="2" t="s">
        <v>362</v>
      </c>
      <c r="I41" s="2" t="s">
        <v>363</v>
      </c>
      <c r="J41" s="2" t="s">
        <v>364</v>
      </c>
      <c r="K41" s="2" t="str">
        <f t="shared" si="0"/>
        <v>(83285)</v>
      </c>
    </row>
    <row r="42" spans="1:11" x14ac:dyDescent="0.35">
      <c r="A42" s="2" t="s">
        <v>365</v>
      </c>
      <c r="B42" s="2">
        <v>2012</v>
      </c>
      <c r="C42" s="2" t="s">
        <v>366</v>
      </c>
      <c r="D42" s="2" t="s">
        <v>423</v>
      </c>
      <c r="E42" s="2" t="s">
        <v>397</v>
      </c>
      <c r="F42" s="2" t="s">
        <v>367</v>
      </c>
      <c r="G42" s="2" t="s">
        <v>368</v>
      </c>
      <c r="H42" s="2" t="s">
        <v>369</v>
      </c>
      <c r="I42" s="2" t="s">
        <v>370</v>
      </c>
      <c r="J42" s="2" t="s">
        <v>371</v>
      </c>
      <c r="K42" s="2" t="str">
        <f t="shared" si="0"/>
        <v>(4409)</v>
      </c>
    </row>
    <row r="43" spans="1:11" x14ac:dyDescent="0.35">
      <c r="A43" s="2" t="s">
        <v>139</v>
      </c>
      <c r="B43" s="2">
        <v>2012</v>
      </c>
      <c r="C43" s="2" t="s">
        <v>372</v>
      </c>
      <c r="D43" s="2" t="s">
        <v>404</v>
      </c>
      <c r="E43" s="2" t="s">
        <v>397</v>
      </c>
      <c r="F43" s="2" t="s">
        <v>373</v>
      </c>
      <c r="H43" s="2" t="s">
        <v>374</v>
      </c>
      <c r="I43" s="2" t="s">
        <v>375</v>
      </c>
      <c r="J43" s="2" t="s">
        <v>376</v>
      </c>
      <c r="K43" s="2" t="str">
        <f t="shared" si="0"/>
        <v>(88593)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7E584-B2A6-4AE5-BD89-ADDFB1A8A09F}">
  <sheetPr codeName="Sheet3"/>
  <dimension ref="A1:F43"/>
  <sheetViews>
    <sheetView workbookViewId="0">
      <selection sqref="A1:A43"/>
    </sheetView>
  </sheetViews>
  <sheetFormatPr defaultRowHeight="14.5" x14ac:dyDescent="0.35"/>
  <cols>
    <col min="1" max="1" width="8.7265625" style="2"/>
    <col min="2" max="3" width="46.36328125" style="2" customWidth="1"/>
    <col min="4" max="16384" width="8.7265625" style="2"/>
  </cols>
  <sheetData>
    <row r="1" spans="1:6" x14ac:dyDescent="0.35">
      <c r="A1" s="2" t="s">
        <v>42</v>
      </c>
      <c r="B1" s="2" t="s">
        <v>385</v>
      </c>
      <c r="C1" s="2" t="s">
        <v>385</v>
      </c>
      <c r="D1" s="2" t="s">
        <v>391</v>
      </c>
      <c r="E1" s="2" t="s">
        <v>390</v>
      </c>
    </row>
    <row r="2" spans="1:6" customFormat="1" x14ac:dyDescent="0.35">
      <c r="A2" s="2" t="s">
        <v>45</v>
      </c>
      <c r="B2" s="2" t="s">
        <v>47</v>
      </c>
      <c r="C2" s="2" t="s">
        <v>47</v>
      </c>
      <c r="D2" t="s">
        <v>420</v>
      </c>
      <c r="E2" t="s">
        <v>411</v>
      </c>
      <c r="F2" t="b">
        <f>C2=B2</f>
        <v>1</v>
      </c>
    </row>
    <row r="3" spans="1:6" customFormat="1" x14ac:dyDescent="0.35">
      <c r="A3" s="2" t="s">
        <v>134</v>
      </c>
      <c r="B3" s="2" t="s">
        <v>136</v>
      </c>
      <c r="C3" s="2" t="s">
        <v>136</v>
      </c>
      <c r="D3" t="s">
        <v>404</v>
      </c>
      <c r="E3" t="s">
        <v>397</v>
      </c>
      <c r="F3" t="b">
        <f t="shared" ref="F3:F43" si="0">C3=B3</f>
        <v>1</v>
      </c>
    </row>
    <row r="4" spans="1:6" customFormat="1" x14ac:dyDescent="0.35">
      <c r="A4" s="2" t="s">
        <v>140</v>
      </c>
      <c r="B4" s="2" t="s">
        <v>136</v>
      </c>
      <c r="C4" s="2" t="s">
        <v>136</v>
      </c>
      <c r="D4" t="s">
        <v>404</v>
      </c>
      <c r="E4" t="s">
        <v>397</v>
      </c>
      <c r="F4" t="b">
        <f t="shared" si="0"/>
        <v>1</v>
      </c>
    </row>
    <row r="5" spans="1:6" customFormat="1" x14ac:dyDescent="0.35">
      <c r="A5" s="2" t="s">
        <v>145</v>
      </c>
      <c r="B5" s="2" t="s">
        <v>147</v>
      </c>
      <c r="C5" s="2" t="s">
        <v>147</v>
      </c>
      <c r="D5" t="s">
        <v>392</v>
      </c>
      <c r="E5" t="s">
        <v>393</v>
      </c>
      <c r="F5" t="b">
        <f t="shared" si="0"/>
        <v>1</v>
      </c>
    </row>
    <row r="6" spans="1:6" customFormat="1" x14ac:dyDescent="0.35">
      <c r="A6" s="2" t="s">
        <v>151</v>
      </c>
      <c r="B6" s="2" t="s">
        <v>153</v>
      </c>
      <c r="C6" s="2" t="s">
        <v>153</v>
      </c>
      <c r="D6" t="s">
        <v>414</v>
      </c>
      <c r="E6" t="s">
        <v>415</v>
      </c>
      <c r="F6" t="b">
        <f t="shared" si="0"/>
        <v>1</v>
      </c>
    </row>
    <row r="7" spans="1:6" customFormat="1" x14ac:dyDescent="0.35">
      <c r="A7" s="2" t="s">
        <v>157</v>
      </c>
      <c r="B7" s="2" t="s">
        <v>159</v>
      </c>
      <c r="C7" s="2" t="s">
        <v>159</v>
      </c>
      <c r="D7" t="s">
        <v>398</v>
      </c>
      <c r="E7" t="s">
        <v>399</v>
      </c>
      <c r="F7" t="b">
        <f t="shared" si="0"/>
        <v>1</v>
      </c>
    </row>
    <row r="8" spans="1:6" customFormat="1" x14ac:dyDescent="0.35">
      <c r="A8" s="2" t="s">
        <v>163</v>
      </c>
      <c r="B8" s="2" t="s">
        <v>165</v>
      </c>
      <c r="C8" s="2" t="s">
        <v>165</v>
      </c>
      <c r="D8" t="s">
        <v>410</v>
      </c>
      <c r="E8" t="s">
        <v>411</v>
      </c>
      <c r="F8" t="b">
        <f t="shared" si="0"/>
        <v>1</v>
      </c>
    </row>
    <row r="9" spans="1:6" customFormat="1" x14ac:dyDescent="0.35">
      <c r="A9" s="2" t="s">
        <v>169</v>
      </c>
      <c r="B9" s="2" t="s">
        <v>171</v>
      </c>
      <c r="C9" s="2" t="s">
        <v>171</v>
      </c>
      <c r="D9" t="s">
        <v>412</v>
      </c>
      <c r="E9" t="s">
        <v>413</v>
      </c>
      <c r="F9" t="b">
        <f t="shared" si="0"/>
        <v>1</v>
      </c>
    </row>
    <row r="10" spans="1:6" customFormat="1" x14ac:dyDescent="0.35">
      <c r="A10" s="2" t="s">
        <v>173</v>
      </c>
      <c r="B10" s="2" t="s">
        <v>175</v>
      </c>
      <c r="C10" s="2" t="s">
        <v>175</v>
      </c>
      <c r="D10" t="s">
        <v>425</v>
      </c>
      <c r="E10" t="s">
        <v>424</v>
      </c>
      <c r="F10" t="b">
        <f t="shared" si="0"/>
        <v>1</v>
      </c>
    </row>
    <row r="11" spans="1:6" customFormat="1" x14ac:dyDescent="0.35">
      <c r="A11" s="2" t="s">
        <v>179</v>
      </c>
      <c r="B11" s="2" t="s">
        <v>181</v>
      </c>
      <c r="C11" s="2" t="s">
        <v>181</v>
      </c>
      <c r="D11" t="s">
        <v>402</v>
      </c>
      <c r="E11" t="s">
        <v>403</v>
      </c>
      <c r="F11" t="b">
        <f t="shared" si="0"/>
        <v>1</v>
      </c>
    </row>
    <row r="12" spans="1:6" customFormat="1" x14ac:dyDescent="0.35">
      <c r="A12" s="2" t="s">
        <v>186</v>
      </c>
      <c r="B12" s="2" t="s">
        <v>47</v>
      </c>
      <c r="C12" s="2" t="s">
        <v>47</v>
      </c>
      <c r="D12" t="s">
        <v>420</v>
      </c>
      <c r="E12" t="s">
        <v>411</v>
      </c>
      <c r="F12" t="b">
        <f t="shared" si="0"/>
        <v>1</v>
      </c>
    </row>
    <row r="13" spans="1:6" customFormat="1" x14ac:dyDescent="0.35">
      <c r="A13" s="2" t="s">
        <v>192</v>
      </c>
      <c r="B13" s="2" t="s">
        <v>194</v>
      </c>
      <c r="C13" s="2" t="s">
        <v>194</v>
      </c>
      <c r="D13" t="s">
        <v>418</v>
      </c>
      <c r="E13" t="s">
        <v>419</v>
      </c>
      <c r="F13" t="b">
        <f t="shared" si="0"/>
        <v>1</v>
      </c>
    </row>
    <row r="14" spans="1:6" customFormat="1" x14ac:dyDescent="0.35">
      <c r="A14" s="2" t="s">
        <v>196</v>
      </c>
      <c r="B14" s="2" t="s">
        <v>198</v>
      </c>
      <c r="C14" s="2" t="s">
        <v>198</v>
      </c>
      <c r="D14" t="s">
        <v>423</v>
      </c>
      <c r="E14" t="s">
        <v>397</v>
      </c>
      <c r="F14" t="b">
        <f t="shared" si="0"/>
        <v>1</v>
      </c>
    </row>
    <row r="15" spans="1:6" customFormat="1" x14ac:dyDescent="0.35">
      <c r="A15" s="2" t="s">
        <v>203</v>
      </c>
      <c r="B15" s="2" t="s">
        <v>205</v>
      </c>
      <c r="C15" s="2" t="s">
        <v>205</v>
      </c>
      <c r="D15" t="s">
        <v>423</v>
      </c>
      <c r="E15" t="s">
        <v>397</v>
      </c>
      <c r="F15" t="b">
        <f t="shared" si="0"/>
        <v>1</v>
      </c>
    </row>
    <row r="16" spans="1:6" customFormat="1" x14ac:dyDescent="0.35">
      <c r="A16" s="2" t="s">
        <v>210</v>
      </c>
      <c r="B16" s="2" t="s">
        <v>212</v>
      </c>
      <c r="C16" s="2" t="s">
        <v>212</v>
      </c>
      <c r="D16" t="s">
        <v>396</v>
      </c>
      <c r="E16" t="s">
        <v>397</v>
      </c>
      <c r="F16" t="b">
        <f t="shared" si="0"/>
        <v>1</v>
      </c>
    </row>
    <row r="17" spans="1:6" customFormat="1" x14ac:dyDescent="0.35">
      <c r="A17" s="2" t="s">
        <v>217</v>
      </c>
      <c r="B17" s="2" t="s">
        <v>219</v>
      </c>
      <c r="C17" s="2" t="s">
        <v>219</v>
      </c>
      <c r="D17" t="s">
        <v>423</v>
      </c>
      <c r="E17" t="s">
        <v>397</v>
      </c>
      <c r="F17" t="b">
        <f t="shared" si="0"/>
        <v>1</v>
      </c>
    </row>
    <row r="18" spans="1:6" customFormat="1" x14ac:dyDescent="0.35">
      <c r="A18" s="2" t="s">
        <v>223</v>
      </c>
      <c r="B18" s="2" t="s">
        <v>136</v>
      </c>
      <c r="C18" s="2" t="s">
        <v>136</v>
      </c>
      <c r="D18" t="s">
        <v>404</v>
      </c>
      <c r="E18" t="s">
        <v>397</v>
      </c>
      <c r="F18" t="b">
        <f t="shared" si="0"/>
        <v>1</v>
      </c>
    </row>
    <row r="19" spans="1:6" customFormat="1" x14ac:dyDescent="0.35">
      <c r="A19" s="2" t="s">
        <v>229</v>
      </c>
      <c r="B19" s="2" t="s">
        <v>136</v>
      </c>
      <c r="C19" s="2" t="s">
        <v>136</v>
      </c>
      <c r="D19" t="s">
        <v>404</v>
      </c>
      <c r="E19" t="s">
        <v>397</v>
      </c>
      <c r="F19" t="b">
        <f t="shared" si="0"/>
        <v>1</v>
      </c>
    </row>
    <row r="20" spans="1:6" customFormat="1" x14ac:dyDescent="0.35">
      <c r="A20" s="2" t="s">
        <v>45</v>
      </c>
      <c r="B20" s="2" t="s">
        <v>47</v>
      </c>
      <c r="C20" s="2" t="s">
        <v>47</v>
      </c>
      <c r="D20" t="s">
        <v>420</v>
      </c>
      <c r="E20" t="s">
        <v>411</v>
      </c>
      <c r="F20" t="b">
        <f t="shared" si="0"/>
        <v>1</v>
      </c>
    </row>
    <row r="21" spans="1:6" customFormat="1" x14ac:dyDescent="0.35">
      <c r="A21" s="2" t="s">
        <v>217</v>
      </c>
      <c r="B21" s="2" t="s">
        <v>219</v>
      </c>
      <c r="C21" s="2" t="s">
        <v>219</v>
      </c>
      <c r="D21" t="s">
        <v>423</v>
      </c>
      <c r="E21" t="s">
        <v>397</v>
      </c>
      <c r="F21" t="b">
        <f t="shared" si="0"/>
        <v>1</v>
      </c>
    </row>
    <row r="22" spans="1:6" customFormat="1" x14ac:dyDescent="0.35">
      <c r="A22" s="2" t="s">
        <v>245</v>
      </c>
      <c r="B22" s="2" t="s">
        <v>212</v>
      </c>
      <c r="C22" s="2" t="s">
        <v>212</v>
      </c>
      <c r="D22" t="s">
        <v>396</v>
      </c>
      <c r="E22" t="s">
        <v>397</v>
      </c>
      <c r="F22" t="b">
        <f t="shared" si="0"/>
        <v>1</v>
      </c>
    </row>
    <row r="23" spans="1:6" customFormat="1" x14ac:dyDescent="0.35">
      <c r="A23" s="2" t="s">
        <v>251</v>
      </c>
      <c r="B23" s="2" t="s">
        <v>253</v>
      </c>
      <c r="C23" s="2" t="s">
        <v>253</v>
      </c>
      <c r="D23" t="s">
        <v>407</v>
      </c>
      <c r="E23" t="s">
        <v>408</v>
      </c>
      <c r="F23" t="b">
        <f t="shared" si="0"/>
        <v>1</v>
      </c>
    </row>
    <row r="24" spans="1:6" customFormat="1" x14ac:dyDescent="0.35">
      <c r="A24" s="2" t="s">
        <v>257</v>
      </c>
      <c r="B24" s="2" t="s">
        <v>259</v>
      </c>
      <c r="C24" s="2" t="s">
        <v>259</v>
      </c>
      <c r="D24" t="s">
        <v>409</v>
      </c>
      <c r="E24" t="s">
        <v>403</v>
      </c>
      <c r="F24" t="b">
        <f t="shared" si="0"/>
        <v>1</v>
      </c>
    </row>
    <row r="25" spans="1:6" customFormat="1" x14ac:dyDescent="0.35">
      <c r="A25" s="2" t="s">
        <v>263</v>
      </c>
      <c r="B25" s="2" t="s">
        <v>264</v>
      </c>
      <c r="C25" s="2" t="s">
        <v>264</v>
      </c>
      <c r="D25" t="s">
        <v>400</v>
      </c>
      <c r="E25" t="s">
        <v>401</v>
      </c>
      <c r="F25" t="b">
        <f t="shared" si="0"/>
        <v>1</v>
      </c>
    </row>
    <row r="26" spans="1:6" customFormat="1" x14ac:dyDescent="0.35">
      <c r="A26" s="2" t="s">
        <v>268</v>
      </c>
      <c r="B26" s="2" t="s">
        <v>270</v>
      </c>
      <c r="C26" s="2" t="s">
        <v>270</v>
      </c>
      <c r="D26" t="s">
        <v>406</v>
      </c>
      <c r="E26" t="s">
        <v>405</v>
      </c>
      <c r="F26" t="b">
        <f t="shared" si="0"/>
        <v>1</v>
      </c>
    </row>
    <row r="27" spans="1:6" customFormat="1" x14ac:dyDescent="0.35">
      <c r="A27" s="2" t="s">
        <v>274</v>
      </c>
      <c r="B27" s="2" t="s">
        <v>276</v>
      </c>
      <c r="C27" s="2" t="s">
        <v>276</v>
      </c>
      <c r="D27" t="s">
        <v>394</v>
      </c>
      <c r="E27" t="s">
        <v>395</v>
      </c>
      <c r="F27" t="b">
        <f t="shared" si="0"/>
        <v>1</v>
      </c>
    </row>
    <row r="28" spans="1:6" customFormat="1" x14ac:dyDescent="0.35">
      <c r="A28" s="2" t="s">
        <v>280</v>
      </c>
      <c r="B28" s="2" t="s">
        <v>282</v>
      </c>
      <c r="C28" s="2" t="s">
        <v>282</v>
      </c>
      <c r="D28" t="s">
        <v>416</v>
      </c>
      <c r="E28" t="s">
        <v>417</v>
      </c>
      <c r="F28" t="b">
        <f t="shared" si="0"/>
        <v>1</v>
      </c>
    </row>
    <row r="29" spans="1:6" customFormat="1" x14ac:dyDescent="0.35">
      <c r="A29" s="2" t="s">
        <v>286</v>
      </c>
      <c r="B29" s="2" t="s">
        <v>288</v>
      </c>
      <c r="C29" s="2" t="s">
        <v>288</v>
      </c>
      <c r="D29" t="s">
        <v>421</v>
      </c>
      <c r="E29" t="s">
        <v>422</v>
      </c>
      <c r="F29" t="b">
        <f t="shared" si="0"/>
        <v>1</v>
      </c>
    </row>
    <row r="30" spans="1:6" x14ac:dyDescent="0.35">
      <c r="A30" s="2" t="s">
        <v>293</v>
      </c>
      <c r="B30" s="2" t="s">
        <v>295</v>
      </c>
      <c r="C30" s="2" t="s">
        <v>295</v>
      </c>
      <c r="D30" s="2" t="s">
        <v>404</v>
      </c>
      <c r="E30" s="2" t="s">
        <v>397</v>
      </c>
      <c r="F30" t="b">
        <f t="shared" si="0"/>
        <v>1</v>
      </c>
    </row>
    <row r="31" spans="1:6" customFormat="1" x14ac:dyDescent="0.35">
      <c r="A31" s="2" t="s">
        <v>300</v>
      </c>
      <c r="B31" s="2" t="s">
        <v>212</v>
      </c>
      <c r="C31" s="2" t="s">
        <v>212</v>
      </c>
      <c r="D31" t="s">
        <v>396</v>
      </c>
      <c r="E31" t="s">
        <v>397</v>
      </c>
      <c r="F31" t="b">
        <f t="shared" si="0"/>
        <v>1</v>
      </c>
    </row>
    <row r="32" spans="1:6" customFormat="1" x14ac:dyDescent="0.35">
      <c r="A32" s="2" t="s">
        <v>306</v>
      </c>
      <c r="B32" s="2" t="s">
        <v>198</v>
      </c>
      <c r="C32" s="2" t="s">
        <v>198</v>
      </c>
      <c r="D32" t="s">
        <v>423</v>
      </c>
      <c r="E32" t="s">
        <v>397</v>
      </c>
      <c r="F32" t="b">
        <f t="shared" si="0"/>
        <v>1</v>
      </c>
    </row>
    <row r="33" spans="1:6" x14ac:dyDescent="0.35">
      <c r="A33" s="2" t="s">
        <v>312</v>
      </c>
      <c r="D33" s="2" t="s">
        <v>423</v>
      </c>
      <c r="E33" s="2" t="s">
        <v>397</v>
      </c>
      <c r="F33" t="b">
        <f t="shared" si="0"/>
        <v>1</v>
      </c>
    </row>
    <row r="34" spans="1:6" x14ac:dyDescent="0.35">
      <c r="A34" s="2" t="s">
        <v>318</v>
      </c>
      <c r="B34" s="2" t="s">
        <v>219</v>
      </c>
      <c r="C34" s="2" t="s">
        <v>219</v>
      </c>
      <c r="D34" s="2" t="s">
        <v>423</v>
      </c>
      <c r="E34" s="2" t="s">
        <v>397</v>
      </c>
      <c r="F34" t="b">
        <f t="shared" si="0"/>
        <v>1</v>
      </c>
    </row>
    <row r="35" spans="1:6" x14ac:dyDescent="0.35">
      <c r="A35" s="2" t="s">
        <v>324</v>
      </c>
      <c r="B35" s="2" t="s">
        <v>326</v>
      </c>
      <c r="C35" s="2" t="s">
        <v>326</v>
      </c>
      <c r="D35" s="2" t="s">
        <v>426</v>
      </c>
      <c r="E35" s="2" t="s">
        <v>405</v>
      </c>
      <c r="F35" t="b">
        <f t="shared" si="0"/>
        <v>1</v>
      </c>
    </row>
    <row r="36" spans="1:6" x14ac:dyDescent="0.35">
      <c r="A36" s="2" t="s">
        <v>324</v>
      </c>
      <c r="B36" s="2" t="s">
        <v>331</v>
      </c>
      <c r="C36" s="2" t="s">
        <v>331</v>
      </c>
      <c r="D36" s="2" t="s">
        <v>402</v>
      </c>
      <c r="E36" s="2" t="s">
        <v>403</v>
      </c>
      <c r="F36" t="b">
        <f t="shared" si="0"/>
        <v>1</v>
      </c>
    </row>
    <row r="37" spans="1:6" x14ac:dyDescent="0.35">
      <c r="A37" s="2" t="s">
        <v>336</v>
      </c>
      <c r="B37" s="2" t="s">
        <v>136</v>
      </c>
      <c r="C37" s="2" t="s">
        <v>136</v>
      </c>
      <c r="D37" s="2" t="s">
        <v>404</v>
      </c>
      <c r="E37" s="2" t="s">
        <v>397</v>
      </c>
      <c r="F37" t="b">
        <f t="shared" si="0"/>
        <v>1</v>
      </c>
    </row>
    <row r="38" spans="1:6" x14ac:dyDescent="0.35">
      <c r="A38" s="2" t="s">
        <v>341</v>
      </c>
      <c r="B38" s="2" t="s">
        <v>136</v>
      </c>
      <c r="C38" s="2" t="s">
        <v>136</v>
      </c>
      <c r="D38" s="2" t="s">
        <v>404</v>
      </c>
      <c r="E38" s="2" t="s">
        <v>397</v>
      </c>
      <c r="F38" t="b">
        <f t="shared" si="0"/>
        <v>1</v>
      </c>
    </row>
    <row r="39" spans="1:6" x14ac:dyDescent="0.35">
      <c r="A39" s="2" t="s">
        <v>347</v>
      </c>
      <c r="B39" s="2" t="s">
        <v>136</v>
      </c>
      <c r="C39" s="2" t="s">
        <v>136</v>
      </c>
      <c r="D39" s="2" t="s">
        <v>404</v>
      </c>
      <c r="E39" s="2" t="s">
        <v>397</v>
      </c>
      <c r="F39" t="b">
        <f t="shared" si="0"/>
        <v>1</v>
      </c>
    </row>
    <row r="40" spans="1:6" x14ac:dyDescent="0.35">
      <c r="A40" s="2" t="s">
        <v>353</v>
      </c>
      <c r="B40" s="2" t="s">
        <v>355</v>
      </c>
      <c r="C40" s="2" t="s">
        <v>355</v>
      </c>
      <c r="D40" s="2" t="s">
        <v>427</v>
      </c>
      <c r="E40" s="2" t="s">
        <v>428</v>
      </c>
      <c r="F40" t="b">
        <f t="shared" si="0"/>
        <v>1</v>
      </c>
    </row>
    <row r="41" spans="1:6" x14ac:dyDescent="0.35">
      <c r="A41" s="2" t="s">
        <v>360</v>
      </c>
      <c r="B41" s="2" t="s">
        <v>136</v>
      </c>
      <c r="C41" s="2" t="s">
        <v>136</v>
      </c>
      <c r="D41" s="2" t="s">
        <v>404</v>
      </c>
      <c r="E41" s="2" t="s">
        <v>397</v>
      </c>
      <c r="F41" t="b">
        <f t="shared" si="0"/>
        <v>1</v>
      </c>
    </row>
    <row r="42" spans="1:6" x14ac:dyDescent="0.35">
      <c r="A42" s="2" t="s">
        <v>366</v>
      </c>
      <c r="B42" s="2" t="s">
        <v>368</v>
      </c>
      <c r="C42" s="2" t="s">
        <v>368</v>
      </c>
      <c r="D42" s="2" t="s">
        <v>423</v>
      </c>
      <c r="E42" s="2" t="s">
        <v>397</v>
      </c>
      <c r="F42" t="b">
        <f t="shared" si="0"/>
        <v>1</v>
      </c>
    </row>
    <row r="43" spans="1:6" x14ac:dyDescent="0.35">
      <c r="A43" s="2" t="s">
        <v>372</v>
      </c>
      <c r="D43" s="2" t="s">
        <v>404</v>
      </c>
      <c r="E43" s="2" t="s">
        <v>397</v>
      </c>
      <c r="F43" t="b">
        <f t="shared" si="0"/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API</vt:lpstr>
      <vt:lpstr>DATA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Kumar Tamatta</dc:creator>
  <cp:lastModifiedBy>Raj Kumar Tamatta</cp:lastModifiedBy>
  <dcterms:created xsi:type="dcterms:W3CDTF">2018-03-13T22:58:31Z</dcterms:created>
  <dcterms:modified xsi:type="dcterms:W3CDTF">2018-04-11T22:03:31Z</dcterms:modified>
</cp:coreProperties>
</file>